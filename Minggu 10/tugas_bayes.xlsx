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16815" windowHeight="823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125" i="1" l="1"/>
  <c r="D125" i="1"/>
  <c r="C125" i="1"/>
  <c r="B125" i="1"/>
  <c r="F125" i="1" s="1"/>
  <c r="E124" i="1"/>
  <c r="D124" i="1"/>
  <c r="C124" i="1"/>
  <c r="B124" i="1"/>
  <c r="F124" i="1" s="1"/>
  <c r="C130" i="1" s="1"/>
  <c r="E117" i="1"/>
  <c r="D117" i="1"/>
  <c r="C117" i="1"/>
  <c r="B117" i="1"/>
  <c r="E116" i="1"/>
  <c r="D116" i="1"/>
  <c r="C116" i="1"/>
  <c r="B116" i="1"/>
  <c r="F98" i="1"/>
  <c r="F97" i="1"/>
  <c r="D88" i="1"/>
  <c r="C88" i="1"/>
  <c r="E54" i="1"/>
  <c r="D54" i="1"/>
  <c r="C54" i="1"/>
  <c r="B54" i="1"/>
  <c r="F54" i="1" s="1"/>
  <c r="E53" i="1"/>
  <c r="D53" i="1"/>
  <c r="C53" i="1"/>
  <c r="B53" i="1"/>
  <c r="F53" i="1" s="1"/>
  <c r="C60" i="1" s="1"/>
  <c r="E47" i="1"/>
  <c r="D47" i="1"/>
  <c r="C47" i="1"/>
  <c r="B47" i="1"/>
  <c r="E46" i="1"/>
  <c r="D46" i="1"/>
  <c r="C46" i="1"/>
  <c r="B46" i="1"/>
  <c r="H17" i="1"/>
  <c r="E17" i="1"/>
  <c r="C131" i="1" l="1"/>
  <c r="C61" i="1"/>
</calcChain>
</file>

<file path=xl/sharedStrings.xml><?xml version="1.0" encoding="utf-8"?>
<sst xmlns="http://schemas.openxmlformats.org/spreadsheetml/2006/main" count="183" uniqueCount="74">
  <si>
    <t>Text</t>
  </si>
  <si>
    <t>Label</t>
  </si>
  <si>
    <t>positive BoW</t>
  </si>
  <si>
    <t>negative BoW</t>
  </si>
  <si>
    <t>bagus pelayanan</t>
  </si>
  <si>
    <t>positive</t>
  </si>
  <si>
    <t>bagus</t>
  </si>
  <si>
    <t xml:space="preserve">biasa </t>
  </si>
  <si>
    <t>pedasnya terasa</t>
  </si>
  <si>
    <t>pelayanan</t>
  </si>
  <si>
    <t xml:space="preserve">aja </t>
  </si>
  <si>
    <t>mantap pedasnya</t>
  </si>
  <si>
    <t>pedas</t>
  </si>
  <si>
    <t xml:space="preserve">sih </t>
  </si>
  <si>
    <t>biasa aja sih menurutku</t>
  </si>
  <si>
    <t>negative</t>
  </si>
  <si>
    <t>terasa</t>
  </si>
  <si>
    <t>menurutku</t>
  </si>
  <si>
    <t>murah dan mantap</t>
  </si>
  <si>
    <t>mantap</t>
  </si>
  <si>
    <t>rumah</t>
  </si>
  <si>
    <t>penyajian cepat</t>
  </si>
  <si>
    <t>penyajian</t>
  </si>
  <si>
    <t>makan</t>
  </si>
  <si>
    <t>rumah makan dengan pelayanan yang sangat Lama</t>
  </si>
  <si>
    <t xml:space="preserve">cepat </t>
  </si>
  <si>
    <t xml:space="preserve">dengan </t>
  </si>
  <si>
    <t>Pelayanan cepat</t>
  </si>
  <si>
    <t>makanan</t>
  </si>
  <si>
    <t>pelayanan lama</t>
  </si>
  <si>
    <t>yang</t>
  </si>
  <si>
    <t>makanan mantap</t>
  </si>
  <si>
    <t>sangat</t>
  </si>
  <si>
    <t xml:space="preserve">lama </t>
  </si>
  <si>
    <t>vocabulary = 7</t>
  </si>
  <si>
    <t>vocabulary = 11</t>
  </si>
  <si>
    <t>TOKENIZIATION</t>
  </si>
  <si>
    <t>Menghitung p(c)</t>
  </si>
  <si>
    <t>rumah makan yang mantap</t>
  </si>
  <si>
    <t>class c</t>
  </si>
  <si>
    <t>jumlah data training</t>
  </si>
  <si>
    <t>pada p(c)</t>
  </si>
  <si>
    <t>7/(7+3)/10 = 7/10</t>
  </si>
  <si>
    <t>3/(3+7)/10 = 3/10</t>
  </si>
  <si>
    <t>RUMUS</t>
  </si>
  <si>
    <t>CLASSC</t>
  </si>
  <si>
    <t>Jumlah kemunculan kata data test pada class c</t>
  </si>
  <si>
    <t xml:space="preserve">yang </t>
  </si>
  <si>
    <t xml:space="preserve"> positive class</t>
  </si>
  <si>
    <t>negative class</t>
  </si>
  <si>
    <t>prob kemunculan kata data test pada class c</t>
  </si>
  <si>
    <t>0/12</t>
  </si>
  <si>
    <t>1/12</t>
  </si>
  <si>
    <t>1/13</t>
  </si>
  <si>
    <t>perkalian prob</t>
  </si>
  <si>
    <t>total</t>
  </si>
  <si>
    <t xml:space="preserve">HASIL </t>
  </si>
  <si>
    <t>perhitungan naive bayes</t>
  </si>
  <si>
    <t>0*(7/10)</t>
  </si>
  <si>
    <t>3,50128E-05*(3/10)</t>
  </si>
  <si>
    <t>LAPLACE(Sebenarnya tidak karna telah ketemu  hasil yang atas)</t>
  </si>
  <si>
    <t>vocabulary kedua kelas</t>
  </si>
  <si>
    <t>count</t>
  </si>
  <si>
    <t>vocabulary 19</t>
  </si>
  <si>
    <t>jumbal vocabulary pad class c+ V +1</t>
  </si>
  <si>
    <t>12+19</t>
  </si>
  <si>
    <t>13+19</t>
  </si>
  <si>
    <t>0+1</t>
  </si>
  <si>
    <t>1+1</t>
  </si>
  <si>
    <t>1/31</t>
  </si>
  <si>
    <t>2/31</t>
  </si>
  <si>
    <t>2/32</t>
  </si>
  <si>
    <t>jumlah</t>
  </si>
  <si>
    <t>2,16562E-06*(7/10)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</si>
</sst>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color rgb="FF222222"/>
      <name val="DejaVu Sans"/>
      <charset val="134"/>
    </font>
    <font>
      <sz val="9.75"/>
      <color rgb="FF222222"/>
      <name val="arial"/>
      <charset val="134"/>
    </font>
    <font>
      <b/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5" xfId="0" applyFont="1" applyBorder="1">
      <alignment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1" fillId="4" borderId="5" xfId="0" applyFont="1" applyFill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0" fillId="0" borderId="2" xfId="0" applyBorder="1" applyAlignment="1">
      <alignment vertical="center"/>
    </xf>
    <xf numFmtId="0" fontId="0" fillId="5" borderId="5" xfId="0" applyFill="1" applyBorder="1" applyAlignment="1">
      <alignment vertical="center"/>
    </xf>
    <xf numFmtId="0" fontId="4" fillId="2" borderId="5" xfId="0" applyFont="1" applyFill="1" applyBorder="1">
      <alignment vertical="center"/>
    </xf>
    <xf numFmtId="0" fontId="0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>
      <alignment vertical="center"/>
    </xf>
    <xf numFmtId="0" fontId="1" fillId="3" borderId="5" xfId="0" applyFont="1" applyFill="1" applyBorder="1">
      <alignment vertical="center"/>
    </xf>
    <xf numFmtId="0" fontId="1" fillId="3" borderId="5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0" fillId="0" borderId="5" xfId="0" applyFill="1" applyBorder="1" applyAlignment="1">
      <alignment horizontal="center" vertical="center"/>
    </xf>
    <xf numFmtId="49" fontId="0" fillId="0" borderId="5" xfId="0" applyNumberFormat="1" applyBorder="1">
      <alignment vertical="center"/>
    </xf>
    <xf numFmtId="0" fontId="0" fillId="0" borderId="5" xfId="0" applyNumberFormat="1" applyBorder="1">
      <alignment vertical="center"/>
    </xf>
    <xf numFmtId="0" fontId="0" fillId="0" borderId="13" xfId="0" applyBorder="1" applyAlignment="1">
      <alignment vertical="center"/>
    </xf>
    <xf numFmtId="0" fontId="4" fillId="2" borderId="5" xfId="0" applyFont="1" applyFill="1" applyBorder="1">
      <alignment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>
      <alignment vertical="center"/>
    </xf>
    <xf numFmtId="0" fontId="0" fillId="0" borderId="6" xfId="0" applyBorder="1">
      <alignment vertical="center"/>
    </xf>
    <xf numFmtId="0" fontId="0" fillId="0" borderId="15" xfId="0" applyBorder="1">
      <alignment vertical="center"/>
    </xf>
    <xf numFmtId="0" fontId="0" fillId="0" borderId="5" xfId="0" applyNumberFormat="1" applyBorder="1" applyAlignment="1">
      <alignment vertical="center"/>
    </xf>
    <xf numFmtId="0" fontId="0" fillId="0" borderId="0" xfId="0" applyNumberFormat="1" applyBorder="1" applyAlignment="1">
      <alignment vertical="center"/>
    </xf>
    <xf numFmtId="0" fontId="0" fillId="0" borderId="15" xfId="0" applyNumberFormat="1" applyBorder="1" applyAlignment="1">
      <alignment vertical="center"/>
    </xf>
    <xf numFmtId="0" fontId="0" fillId="0" borderId="0" xfId="0" applyNumberFormat="1" applyBorder="1" applyAlignment="1">
      <alignment vertical="center"/>
    </xf>
    <xf numFmtId="0" fontId="0" fillId="0" borderId="15" xfId="0" applyNumberFormat="1" applyBorder="1" applyAlignment="1">
      <alignment vertical="center"/>
    </xf>
    <xf numFmtId="0" fontId="0" fillId="0" borderId="0" xfId="0" applyNumberFormat="1" applyBorder="1" applyAlignment="1">
      <alignment vertical="center"/>
    </xf>
    <xf numFmtId="0" fontId="0" fillId="0" borderId="0" xfId="0" applyNumberFormat="1" applyBorder="1" applyAlignment="1">
      <alignment vertical="center"/>
    </xf>
    <xf numFmtId="0" fontId="0" fillId="0" borderId="4" xfId="0" applyBorder="1">
      <alignment vertical="center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0" fillId="2" borderId="5" xfId="0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0" borderId="20" xfId="0" applyNumberFormat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>
      <alignment vertical="center"/>
    </xf>
    <xf numFmtId="0" fontId="0" fillId="8" borderId="5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136"/>
  <sheetViews>
    <sheetView tabSelected="1" topLeftCell="A82" zoomScale="85" zoomScaleNormal="85" workbookViewId="0">
      <selection activeCell="E82" sqref="E82"/>
    </sheetView>
  </sheetViews>
  <sheetFormatPr defaultColWidth="8.85546875" defaultRowHeight="15"/>
  <cols>
    <col min="1" max="1" width="36" customWidth="1"/>
    <col min="2" max="2" width="17.28515625" customWidth="1"/>
    <col min="3" max="3" width="12.42578125"/>
    <col min="4" max="4" width="16.85546875" customWidth="1"/>
    <col min="5" max="5" width="14.85546875" customWidth="1"/>
    <col min="6" max="6" width="12.42578125"/>
    <col min="7" max="7" width="15" customWidth="1"/>
  </cols>
  <sheetData>
    <row r="4" spans="1:8">
      <c r="A4" s="42" t="s">
        <v>0</v>
      </c>
      <c r="B4" s="42" t="s">
        <v>1</v>
      </c>
      <c r="D4" s="46" t="s">
        <v>2</v>
      </c>
      <c r="E4" s="47"/>
      <c r="G4" s="50" t="s">
        <v>3</v>
      </c>
      <c r="H4" s="50"/>
    </row>
    <row r="5" spans="1:8">
      <c r="A5" s="43"/>
      <c r="B5" s="43"/>
      <c r="D5" s="48"/>
      <c r="E5" s="49"/>
      <c r="G5" s="50"/>
      <c r="H5" s="50"/>
    </row>
    <row r="6" spans="1:8" ht="14.85" customHeight="1">
      <c r="A6" s="1" t="s">
        <v>4</v>
      </c>
      <c r="B6" s="2" t="s">
        <v>5</v>
      </c>
      <c r="D6" s="3" t="s">
        <v>6</v>
      </c>
      <c r="E6" s="3">
        <v>1</v>
      </c>
      <c r="G6" s="3" t="s">
        <v>7</v>
      </c>
      <c r="H6" s="3">
        <v>1</v>
      </c>
    </row>
    <row r="7" spans="1:8" ht="14.85" customHeight="1">
      <c r="A7" s="1" t="s">
        <v>8</v>
      </c>
      <c r="B7" s="2" t="s">
        <v>5</v>
      </c>
      <c r="D7" s="3" t="s">
        <v>9</v>
      </c>
      <c r="E7" s="3">
        <v>2</v>
      </c>
      <c r="G7" s="3" t="s">
        <v>10</v>
      </c>
      <c r="H7" s="3">
        <v>1</v>
      </c>
    </row>
    <row r="8" spans="1:8" ht="14.85" customHeight="1">
      <c r="A8" s="1" t="s">
        <v>11</v>
      </c>
      <c r="B8" s="2" t="s">
        <v>5</v>
      </c>
      <c r="D8" s="3" t="s">
        <v>12</v>
      </c>
      <c r="E8" s="3">
        <v>2</v>
      </c>
      <c r="G8" s="3" t="s">
        <v>13</v>
      </c>
      <c r="H8" s="3">
        <v>1</v>
      </c>
    </row>
    <row r="9" spans="1:8" ht="14.85" customHeight="1">
      <c r="A9" s="1" t="s">
        <v>14</v>
      </c>
      <c r="B9" s="4" t="s">
        <v>15</v>
      </c>
      <c r="D9" s="3" t="s">
        <v>16</v>
      </c>
      <c r="E9" s="3">
        <v>1</v>
      </c>
      <c r="G9" s="3" t="s">
        <v>17</v>
      </c>
      <c r="H9" s="3">
        <v>1</v>
      </c>
    </row>
    <row r="10" spans="1:8" ht="14.85" customHeight="1">
      <c r="A10" s="1" t="s">
        <v>18</v>
      </c>
      <c r="B10" s="2" t="s">
        <v>5</v>
      </c>
      <c r="D10" s="3" t="s">
        <v>19</v>
      </c>
      <c r="E10" s="3">
        <v>2</v>
      </c>
      <c r="G10" s="3" t="s">
        <v>20</v>
      </c>
      <c r="H10" s="3">
        <v>1</v>
      </c>
    </row>
    <row r="11" spans="1:8" ht="14.85" customHeight="1">
      <c r="A11" s="1" t="s">
        <v>21</v>
      </c>
      <c r="B11" s="2" t="s">
        <v>5</v>
      </c>
      <c r="D11" s="3" t="s">
        <v>22</v>
      </c>
      <c r="E11" s="3">
        <v>1</v>
      </c>
      <c r="G11" s="3" t="s">
        <v>23</v>
      </c>
      <c r="H11" s="3">
        <v>1</v>
      </c>
    </row>
    <row r="12" spans="1:8" ht="14.85" customHeight="1">
      <c r="A12" s="1" t="s">
        <v>24</v>
      </c>
      <c r="B12" s="4" t="s">
        <v>15</v>
      </c>
      <c r="D12" s="3" t="s">
        <v>25</v>
      </c>
      <c r="E12" s="3">
        <v>2</v>
      </c>
      <c r="G12" s="3" t="s">
        <v>26</v>
      </c>
      <c r="H12" s="3">
        <v>1</v>
      </c>
    </row>
    <row r="13" spans="1:8" ht="14.85" customHeight="1">
      <c r="A13" s="5" t="s">
        <v>27</v>
      </c>
      <c r="B13" s="2" t="s">
        <v>5</v>
      </c>
      <c r="D13" s="6" t="s">
        <v>28</v>
      </c>
      <c r="E13" s="19">
        <v>1</v>
      </c>
      <c r="G13" s="3" t="s">
        <v>9</v>
      </c>
      <c r="H13" s="3">
        <v>2</v>
      </c>
    </row>
    <row r="14" spans="1:8" ht="14.85" customHeight="1">
      <c r="A14" s="1" t="s">
        <v>29</v>
      </c>
      <c r="B14" s="4" t="s">
        <v>15</v>
      </c>
      <c r="D14" s="51"/>
      <c r="E14" s="52"/>
      <c r="G14" s="3" t="s">
        <v>30</v>
      </c>
      <c r="H14" s="3">
        <v>1</v>
      </c>
    </row>
    <row r="15" spans="1:8">
      <c r="A15" s="7" t="s">
        <v>31</v>
      </c>
      <c r="B15" s="2" t="s">
        <v>5</v>
      </c>
      <c r="D15" s="51"/>
      <c r="E15" s="52"/>
      <c r="G15" s="3" t="s">
        <v>32</v>
      </c>
      <c r="H15" s="3">
        <v>1</v>
      </c>
    </row>
    <row r="16" spans="1:8">
      <c r="D16" s="53"/>
      <c r="E16" s="54"/>
      <c r="G16" s="3" t="s">
        <v>33</v>
      </c>
      <c r="H16" s="3">
        <v>2</v>
      </c>
    </row>
    <row r="17" spans="1:8">
      <c r="D17" s="8" t="s">
        <v>34</v>
      </c>
      <c r="E17" s="20">
        <f>SUM(E6:E16)</f>
        <v>12</v>
      </c>
      <c r="G17" s="8" t="s">
        <v>35</v>
      </c>
      <c r="H17" s="20">
        <f>SUM(H6:H16)</f>
        <v>13</v>
      </c>
    </row>
    <row r="22" spans="1:8">
      <c r="A22" s="9" t="s">
        <v>36</v>
      </c>
      <c r="C22" s="35" t="s">
        <v>37</v>
      </c>
      <c r="D22" s="35"/>
      <c r="E22" s="35"/>
    </row>
    <row r="23" spans="1:8">
      <c r="A23" s="10" t="s">
        <v>38</v>
      </c>
      <c r="C23" s="11" t="s">
        <v>39</v>
      </c>
      <c r="D23" s="11" t="s">
        <v>40</v>
      </c>
      <c r="E23" s="11" t="s">
        <v>41</v>
      </c>
    </row>
    <row r="24" spans="1:8">
      <c r="C24" s="12" t="s">
        <v>5</v>
      </c>
      <c r="D24" s="13">
        <v>7</v>
      </c>
      <c r="E24" s="12" t="s">
        <v>42</v>
      </c>
    </row>
    <row r="25" spans="1:8">
      <c r="C25" s="14" t="s">
        <v>15</v>
      </c>
      <c r="D25" s="15">
        <v>3</v>
      </c>
      <c r="E25" s="14" t="s">
        <v>43</v>
      </c>
    </row>
    <row r="27" spans="1:8">
      <c r="A27" s="61" t="s">
        <v>44</v>
      </c>
      <c r="B27" s="62"/>
      <c r="C27" s="62"/>
      <c r="D27" s="62"/>
      <c r="E27" s="62"/>
      <c r="F27" s="62"/>
      <c r="G27" s="62"/>
      <c r="H27" s="63"/>
    </row>
    <row r="28" spans="1:8">
      <c r="A28" s="64"/>
      <c r="B28" s="65"/>
      <c r="C28" s="65"/>
      <c r="D28" s="65"/>
      <c r="E28" s="65"/>
      <c r="F28" s="65"/>
      <c r="G28" s="65"/>
      <c r="H28" s="66"/>
    </row>
    <row r="30" spans="1:8" ht="14.85" customHeight="1">
      <c r="A30" s="35" t="s">
        <v>45</v>
      </c>
      <c r="B30" s="36" t="s">
        <v>46</v>
      </c>
      <c r="C30" s="36"/>
      <c r="D30" s="36"/>
      <c r="E30" s="36"/>
      <c r="F30" s="21"/>
    </row>
    <row r="31" spans="1:8" ht="14.85" customHeight="1">
      <c r="A31" s="44"/>
      <c r="B31" s="16" t="s">
        <v>20</v>
      </c>
      <c r="C31" s="16" t="s">
        <v>23</v>
      </c>
      <c r="D31" s="16" t="s">
        <v>47</v>
      </c>
      <c r="E31" s="16" t="s">
        <v>19</v>
      </c>
      <c r="F31" s="22"/>
    </row>
    <row r="32" spans="1:8">
      <c r="A32" s="12" t="s">
        <v>48</v>
      </c>
      <c r="B32" s="3">
        <v>0</v>
      </c>
      <c r="C32" s="3">
        <v>0</v>
      </c>
      <c r="D32" s="3">
        <v>0</v>
      </c>
      <c r="E32" s="3">
        <v>1</v>
      </c>
    </row>
    <row r="33" spans="1:5">
      <c r="A33" s="14" t="s">
        <v>49</v>
      </c>
      <c r="B33" s="3">
        <v>1</v>
      </c>
      <c r="C33" s="3">
        <v>1</v>
      </c>
      <c r="D33" s="3">
        <v>1</v>
      </c>
      <c r="E33" s="3">
        <v>1</v>
      </c>
    </row>
    <row r="37" spans="1:5">
      <c r="A37" s="35" t="s">
        <v>45</v>
      </c>
      <c r="B37" s="36" t="s">
        <v>50</v>
      </c>
      <c r="C37" s="36"/>
      <c r="D37" s="36"/>
      <c r="E37" s="36"/>
    </row>
    <row r="38" spans="1:5">
      <c r="A38" s="44"/>
      <c r="B38" s="16" t="s">
        <v>20</v>
      </c>
      <c r="C38" s="16" t="s">
        <v>23</v>
      </c>
      <c r="D38" s="16" t="s">
        <v>47</v>
      </c>
      <c r="E38" s="16" t="s">
        <v>19</v>
      </c>
    </row>
    <row r="39" spans="1:5">
      <c r="A39" s="12" t="s">
        <v>48</v>
      </c>
      <c r="B39" s="17" t="s">
        <v>51</v>
      </c>
      <c r="C39" s="17" t="s">
        <v>51</v>
      </c>
      <c r="D39" s="17" t="s">
        <v>51</v>
      </c>
      <c r="E39" s="17" t="s">
        <v>52</v>
      </c>
    </row>
    <row r="40" spans="1:5">
      <c r="A40" s="14" t="s">
        <v>49</v>
      </c>
      <c r="B40" s="17" t="s">
        <v>53</v>
      </c>
      <c r="C40" s="17" t="s">
        <v>53</v>
      </c>
      <c r="D40" s="17" t="s">
        <v>53</v>
      </c>
      <c r="E40" s="17" t="s">
        <v>53</v>
      </c>
    </row>
    <row r="44" spans="1:5">
      <c r="A44" s="35" t="s">
        <v>45</v>
      </c>
      <c r="B44" s="36" t="s">
        <v>50</v>
      </c>
      <c r="C44" s="36"/>
      <c r="D44" s="36"/>
      <c r="E44" s="36"/>
    </row>
    <row r="45" spans="1:5">
      <c r="A45" s="44"/>
      <c r="B45" s="16" t="s">
        <v>20</v>
      </c>
      <c r="C45" s="16" t="s">
        <v>23</v>
      </c>
      <c r="D45" s="16" t="s">
        <v>47</v>
      </c>
      <c r="E45" s="16" t="s">
        <v>19</v>
      </c>
    </row>
    <row r="46" spans="1:5">
      <c r="A46" s="12" t="s">
        <v>48</v>
      </c>
      <c r="B46" s="18">
        <f>0/12</f>
        <v>0</v>
      </c>
      <c r="C46" s="18">
        <f>0/12</f>
        <v>0</v>
      </c>
      <c r="D46" s="18">
        <f>0/12</f>
        <v>0</v>
      </c>
      <c r="E46" s="18">
        <f>1/12</f>
        <v>8.3333333333333329E-2</v>
      </c>
    </row>
    <row r="47" spans="1:5">
      <c r="A47" s="14" t="s">
        <v>49</v>
      </c>
      <c r="B47" s="18">
        <f>1/13</f>
        <v>7.6923076923076927E-2</v>
      </c>
      <c r="C47" s="18">
        <f>1/13</f>
        <v>7.6923076923076927E-2</v>
      </c>
      <c r="D47" s="18">
        <f>1/13</f>
        <v>7.6923076923076927E-2</v>
      </c>
      <c r="E47" s="18">
        <f>1/13</f>
        <v>7.6923076923076927E-2</v>
      </c>
    </row>
    <row r="51" spans="1:8">
      <c r="A51" s="35" t="s">
        <v>45</v>
      </c>
      <c r="B51" s="55" t="s">
        <v>54</v>
      </c>
      <c r="C51" s="56"/>
      <c r="D51" s="56"/>
      <c r="E51" s="57"/>
      <c r="F51" s="45" t="s">
        <v>55</v>
      </c>
    </row>
    <row r="52" spans="1:8">
      <c r="A52" s="44"/>
      <c r="B52" s="58"/>
      <c r="C52" s="59"/>
      <c r="D52" s="59"/>
      <c r="E52" s="60"/>
      <c r="F52" s="45"/>
    </row>
    <row r="53" spans="1:8">
      <c r="A53" s="12" t="s">
        <v>48</v>
      </c>
      <c r="B53" s="18">
        <f>0/12</f>
        <v>0</v>
      </c>
      <c r="C53" s="18">
        <f>0/12</f>
        <v>0</v>
      </c>
      <c r="D53" s="18">
        <f>0/12</f>
        <v>0</v>
      </c>
      <c r="E53" s="18">
        <f>1/12</f>
        <v>8.3333333333333329E-2</v>
      </c>
      <c r="F53" s="18">
        <f>B53*C53*D53*E53</f>
        <v>0</v>
      </c>
    </row>
    <row r="54" spans="1:8">
      <c r="A54" s="14" t="s">
        <v>49</v>
      </c>
      <c r="B54" s="18">
        <f>1/13</f>
        <v>7.6923076923076927E-2</v>
      </c>
      <c r="C54" s="18">
        <f>1/13</f>
        <v>7.6923076923076927E-2</v>
      </c>
      <c r="D54" s="18">
        <f>1/13</f>
        <v>7.6923076923076927E-2</v>
      </c>
      <c r="E54" s="18">
        <f>1/13</f>
        <v>7.6923076923076927E-2</v>
      </c>
      <c r="F54" s="18">
        <f>B54*C54*D54*E54</f>
        <v>3.5012779664577579E-5</v>
      </c>
    </row>
    <row r="56" spans="1:8">
      <c r="A56" s="61" t="s">
        <v>56</v>
      </c>
      <c r="B56" s="62"/>
      <c r="C56" s="62"/>
      <c r="D56" s="62"/>
      <c r="E56" s="62"/>
      <c r="F56" s="62"/>
      <c r="G56" s="62"/>
      <c r="H56" s="63"/>
    </row>
    <row r="57" spans="1:8">
      <c r="A57" s="64"/>
      <c r="B57" s="65"/>
      <c r="C57" s="65"/>
      <c r="D57" s="65"/>
      <c r="E57" s="65"/>
      <c r="F57" s="65"/>
      <c r="G57" s="65"/>
      <c r="H57" s="66"/>
    </row>
    <row r="59" spans="1:8">
      <c r="A59" s="37" t="s">
        <v>57</v>
      </c>
      <c r="B59" s="37"/>
      <c r="C59" s="37"/>
      <c r="D59" s="37"/>
      <c r="E59" s="37"/>
      <c r="F59" s="37"/>
    </row>
    <row r="60" spans="1:8">
      <c r="A60" s="12" t="s">
        <v>48</v>
      </c>
      <c r="B60" s="3" t="s">
        <v>58</v>
      </c>
      <c r="C60" s="38">
        <f>F53*(7/10)</f>
        <v>0</v>
      </c>
      <c r="D60" s="38"/>
      <c r="E60" s="38"/>
      <c r="F60" s="38"/>
    </row>
    <row r="61" spans="1:8">
      <c r="A61" s="14" t="s">
        <v>49</v>
      </c>
      <c r="B61" s="3" t="s">
        <v>59</v>
      </c>
      <c r="C61" s="38">
        <f>F54*(3/10)</f>
        <v>1.0503833899373273E-5</v>
      </c>
      <c r="D61" s="38"/>
      <c r="E61" s="38"/>
      <c r="F61" s="38"/>
    </row>
    <row r="64" spans="1:8">
      <c r="A64" s="61" t="s">
        <v>60</v>
      </c>
      <c r="B64" s="62"/>
      <c r="C64" s="62"/>
      <c r="D64" s="62"/>
      <c r="E64" s="62"/>
      <c r="F64" s="62"/>
      <c r="G64" s="62"/>
      <c r="H64" s="63"/>
    </row>
    <row r="65" spans="1:8">
      <c r="A65" s="64"/>
      <c r="B65" s="65"/>
      <c r="C65" s="65"/>
      <c r="D65" s="65"/>
      <c r="E65" s="65"/>
      <c r="F65" s="65"/>
      <c r="G65" s="65"/>
      <c r="H65" s="66"/>
    </row>
    <row r="66" spans="1:8">
      <c r="A66" s="23"/>
      <c r="H66" s="24"/>
    </row>
    <row r="67" spans="1:8">
      <c r="A67" s="23"/>
      <c r="B67" s="46" t="s">
        <v>61</v>
      </c>
      <c r="C67" s="47"/>
      <c r="D67" s="37" t="s">
        <v>62</v>
      </c>
      <c r="H67" s="24"/>
    </row>
    <row r="68" spans="1:8">
      <c r="A68" s="23"/>
      <c r="B68" s="48"/>
      <c r="C68" s="49"/>
      <c r="D68" s="37"/>
      <c r="H68" s="24"/>
    </row>
    <row r="69" spans="1:8">
      <c r="A69" s="23"/>
      <c r="B69" s="3" t="s">
        <v>6</v>
      </c>
      <c r="C69" s="3">
        <v>1</v>
      </c>
      <c r="D69" s="3">
        <v>1</v>
      </c>
      <c r="H69" s="24"/>
    </row>
    <row r="70" spans="1:8">
      <c r="A70" s="23"/>
      <c r="B70" s="3" t="s">
        <v>9</v>
      </c>
      <c r="C70" s="3">
        <v>2</v>
      </c>
      <c r="D70" s="3">
        <v>1</v>
      </c>
      <c r="H70" s="24"/>
    </row>
    <row r="71" spans="1:8">
      <c r="A71" s="23"/>
      <c r="B71" s="3" t="s">
        <v>12</v>
      </c>
      <c r="C71" s="3">
        <v>2</v>
      </c>
      <c r="D71" s="3">
        <v>1</v>
      </c>
      <c r="H71" s="24"/>
    </row>
    <row r="72" spans="1:8">
      <c r="A72" s="23"/>
      <c r="B72" s="3" t="s">
        <v>16</v>
      </c>
      <c r="C72" s="3">
        <v>1</v>
      </c>
      <c r="D72" s="3">
        <v>1</v>
      </c>
      <c r="H72" s="24"/>
    </row>
    <row r="73" spans="1:8">
      <c r="A73" s="23"/>
      <c r="B73" s="3" t="s">
        <v>19</v>
      </c>
      <c r="C73" s="3">
        <v>2</v>
      </c>
      <c r="D73" s="3">
        <v>1</v>
      </c>
      <c r="H73" s="24"/>
    </row>
    <row r="74" spans="1:8">
      <c r="A74" s="23"/>
      <c r="B74" s="3" t="s">
        <v>22</v>
      </c>
      <c r="C74" s="3">
        <v>1</v>
      </c>
      <c r="D74" s="3">
        <v>1</v>
      </c>
      <c r="H74" s="24"/>
    </row>
    <row r="75" spans="1:8">
      <c r="A75" s="23"/>
      <c r="B75" s="3" t="s">
        <v>25</v>
      </c>
      <c r="C75" s="3">
        <v>2</v>
      </c>
      <c r="D75" s="3">
        <v>1</v>
      </c>
      <c r="H75" s="24"/>
    </row>
    <row r="76" spans="1:8">
      <c r="A76" s="23"/>
      <c r="B76" s="6" t="s">
        <v>28</v>
      </c>
      <c r="C76" s="19">
        <v>1</v>
      </c>
      <c r="D76" s="3">
        <v>1</v>
      </c>
      <c r="H76" s="24"/>
    </row>
    <row r="77" spans="1:8">
      <c r="A77" s="23"/>
      <c r="B77" s="3" t="s">
        <v>7</v>
      </c>
      <c r="C77" s="3">
        <v>1</v>
      </c>
      <c r="D77" s="3">
        <v>1</v>
      </c>
      <c r="H77" s="24"/>
    </row>
    <row r="78" spans="1:8">
      <c r="A78" s="23"/>
      <c r="B78" s="3" t="s">
        <v>10</v>
      </c>
      <c r="C78" s="3">
        <v>1</v>
      </c>
      <c r="D78" s="3">
        <v>1</v>
      </c>
      <c r="H78" s="24"/>
    </row>
    <row r="79" spans="1:8">
      <c r="A79" s="23"/>
      <c r="B79" s="3" t="s">
        <v>13</v>
      </c>
      <c r="C79" s="3">
        <v>1</v>
      </c>
      <c r="D79" s="3">
        <v>1</v>
      </c>
      <c r="H79" s="24"/>
    </row>
    <row r="80" spans="1:8">
      <c r="A80" s="23"/>
      <c r="B80" s="3" t="s">
        <v>17</v>
      </c>
      <c r="C80" s="3">
        <v>1</v>
      </c>
      <c r="D80" s="3">
        <v>1</v>
      </c>
      <c r="H80" s="24"/>
    </row>
    <row r="81" spans="1:8">
      <c r="A81" s="23"/>
      <c r="B81" s="3" t="s">
        <v>20</v>
      </c>
      <c r="C81" s="3">
        <v>1</v>
      </c>
      <c r="D81" s="3">
        <v>1</v>
      </c>
      <c r="H81" s="24"/>
    </row>
    <row r="82" spans="1:8">
      <c r="A82" s="23"/>
      <c r="B82" s="3" t="s">
        <v>23</v>
      </c>
      <c r="C82" s="3">
        <v>1</v>
      </c>
      <c r="D82" s="3">
        <v>1</v>
      </c>
      <c r="H82" s="24"/>
    </row>
    <row r="83" spans="1:8">
      <c r="A83" s="23"/>
      <c r="B83" s="3" t="s">
        <v>26</v>
      </c>
      <c r="C83" s="3">
        <v>1</v>
      </c>
      <c r="D83" s="3">
        <v>1</v>
      </c>
      <c r="H83" s="24"/>
    </row>
    <row r="84" spans="1:8">
      <c r="A84" s="23"/>
      <c r="B84" s="3" t="s">
        <v>9</v>
      </c>
      <c r="C84" s="3">
        <v>2</v>
      </c>
      <c r="D84" s="3">
        <v>1</v>
      </c>
      <c r="H84" s="24"/>
    </row>
    <row r="85" spans="1:8">
      <c r="A85" s="23"/>
      <c r="B85" s="3" t="s">
        <v>30</v>
      </c>
      <c r="C85" s="3">
        <v>1</v>
      </c>
      <c r="D85" s="3">
        <v>1</v>
      </c>
      <c r="H85" s="24"/>
    </row>
    <row r="86" spans="1:8">
      <c r="A86" s="23"/>
      <c r="B86" s="3" t="s">
        <v>32</v>
      </c>
      <c r="C86" s="3">
        <v>1</v>
      </c>
      <c r="D86" s="3">
        <v>1</v>
      </c>
      <c r="H86" s="24"/>
    </row>
    <row r="87" spans="1:8">
      <c r="A87" s="23"/>
      <c r="B87" s="3" t="s">
        <v>33</v>
      </c>
      <c r="C87" s="3">
        <v>2</v>
      </c>
      <c r="D87" s="3">
        <v>1</v>
      </c>
      <c r="H87" s="24"/>
    </row>
    <row r="88" spans="1:8">
      <c r="A88" s="23"/>
      <c r="B88" s="8" t="s">
        <v>63</v>
      </c>
      <c r="C88" s="20">
        <f>SUM(C69:C87)</f>
        <v>25</v>
      </c>
      <c r="D88" s="20">
        <f>SUM(D69:D87)</f>
        <v>19</v>
      </c>
      <c r="H88" s="24"/>
    </row>
    <row r="89" spans="1:8">
      <c r="A89" s="23"/>
      <c r="H89" s="24"/>
    </row>
    <row r="90" spans="1:8">
      <c r="A90" s="23"/>
      <c r="H90" s="24"/>
    </row>
    <row r="91" spans="1:8">
      <c r="A91" s="23"/>
      <c r="H91" s="24"/>
    </row>
    <row r="92" spans="1:8">
      <c r="A92" s="23"/>
      <c r="H92" s="24"/>
    </row>
    <row r="93" spans="1:8">
      <c r="A93" s="23"/>
      <c r="H93" s="24"/>
    </row>
    <row r="94" spans="1:8">
      <c r="A94" s="23"/>
      <c r="H94" s="24"/>
    </row>
    <row r="95" spans="1:8">
      <c r="A95" s="35" t="s">
        <v>45</v>
      </c>
      <c r="B95" s="55" t="s">
        <v>64</v>
      </c>
      <c r="C95" s="56"/>
      <c r="D95" s="56"/>
      <c r="E95" s="57"/>
      <c r="F95" s="45" t="s">
        <v>55</v>
      </c>
      <c r="H95" s="24"/>
    </row>
    <row r="96" spans="1:8">
      <c r="A96" s="44"/>
      <c r="B96" s="58"/>
      <c r="C96" s="59"/>
      <c r="D96" s="59"/>
      <c r="E96" s="60"/>
      <c r="F96" s="45"/>
      <c r="H96" s="24"/>
    </row>
    <row r="97" spans="1:9">
      <c r="A97" s="12" t="s">
        <v>48</v>
      </c>
      <c r="B97" s="39" t="s">
        <v>65</v>
      </c>
      <c r="C97" s="40"/>
      <c r="D97" s="40"/>
      <c r="E97" s="41"/>
      <c r="F97" s="25">
        <f>12+19</f>
        <v>31</v>
      </c>
      <c r="G97" s="26"/>
      <c r="H97" s="27"/>
      <c r="I97" s="30"/>
    </row>
    <row r="98" spans="1:9">
      <c r="A98" s="14" t="s">
        <v>49</v>
      </c>
      <c r="B98" s="39" t="s">
        <v>66</v>
      </c>
      <c r="C98" s="40"/>
      <c r="D98" s="40"/>
      <c r="E98" s="41"/>
      <c r="F98" s="25">
        <f>13+19</f>
        <v>32</v>
      </c>
      <c r="G98" s="28"/>
      <c r="H98" s="29"/>
      <c r="I98" s="31"/>
    </row>
    <row r="99" spans="1:9">
      <c r="A99" s="23"/>
      <c r="H99" s="24"/>
    </row>
    <row r="100" spans="1:9">
      <c r="A100" s="23"/>
      <c r="H100" s="24"/>
    </row>
    <row r="101" spans="1:9">
      <c r="A101" s="35" t="s">
        <v>45</v>
      </c>
      <c r="B101" s="36" t="s">
        <v>46</v>
      </c>
      <c r="C101" s="36"/>
      <c r="D101" s="36"/>
      <c r="E101" s="36"/>
      <c r="H101" s="24"/>
    </row>
    <row r="102" spans="1:9">
      <c r="A102" s="44"/>
      <c r="B102" s="16" t="s">
        <v>20</v>
      </c>
      <c r="C102" s="16" t="s">
        <v>23</v>
      </c>
      <c r="D102" s="16" t="s">
        <v>47</v>
      </c>
      <c r="E102" s="16" t="s">
        <v>19</v>
      </c>
      <c r="H102" s="24"/>
    </row>
    <row r="103" spans="1:9">
      <c r="A103" s="12" t="s">
        <v>48</v>
      </c>
      <c r="B103" s="3" t="s">
        <v>67</v>
      </c>
      <c r="C103" s="3" t="s">
        <v>67</v>
      </c>
      <c r="D103" s="3" t="s">
        <v>67</v>
      </c>
      <c r="E103" s="3" t="s">
        <v>68</v>
      </c>
      <c r="H103" s="24"/>
    </row>
    <row r="104" spans="1:9">
      <c r="A104" s="14" t="s">
        <v>49</v>
      </c>
      <c r="B104" s="3" t="s">
        <v>68</v>
      </c>
      <c r="C104" s="3" t="s">
        <v>68</v>
      </c>
      <c r="D104" s="3" t="s">
        <v>68</v>
      </c>
      <c r="E104" s="3" t="s">
        <v>68</v>
      </c>
      <c r="H104" s="24"/>
    </row>
    <row r="105" spans="1:9">
      <c r="A105" s="23"/>
      <c r="H105" s="24"/>
    </row>
    <row r="106" spans="1:9">
      <c r="A106" s="23"/>
      <c r="H106" s="24"/>
    </row>
    <row r="107" spans="1:9">
      <c r="A107" s="35" t="s">
        <v>45</v>
      </c>
      <c r="B107" s="36" t="s">
        <v>50</v>
      </c>
      <c r="C107" s="36"/>
      <c r="D107" s="36"/>
      <c r="E107" s="36"/>
      <c r="H107" s="24"/>
    </row>
    <row r="108" spans="1:9">
      <c r="A108" s="44"/>
      <c r="B108" s="16" t="s">
        <v>20</v>
      </c>
      <c r="C108" s="16" t="s">
        <v>23</v>
      </c>
      <c r="D108" s="16" t="s">
        <v>47</v>
      </c>
      <c r="E108" s="16" t="s">
        <v>19</v>
      </c>
      <c r="H108" s="24"/>
    </row>
    <row r="109" spans="1:9">
      <c r="A109" s="12" t="s">
        <v>48</v>
      </c>
      <c r="B109" s="17" t="s">
        <v>69</v>
      </c>
      <c r="C109" s="17" t="s">
        <v>69</v>
      </c>
      <c r="D109" s="17" t="s">
        <v>69</v>
      </c>
      <c r="E109" s="17" t="s">
        <v>70</v>
      </c>
      <c r="H109" s="24"/>
    </row>
    <row r="110" spans="1:9">
      <c r="A110" s="14" t="s">
        <v>49</v>
      </c>
      <c r="B110" s="17" t="s">
        <v>71</v>
      </c>
      <c r="C110" s="17" t="s">
        <v>71</v>
      </c>
      <c r="D110" s="17" t="s">
        <v>71</v>
      </c>
      <c r="E110" s="17" t="s">
        <v>71</v>
      </c>
      <c r="H110" s="24"/>
    </row>
    <row r="111" spans="1:9">
      <c r="A111" s="23"/>
      <c r="H111" s="24"/>
    </row>
    <row r="112" spans="1:9">
      <c r="A112" s="23"/>
      <c r="H112" s="24"/>
    </row>
    <row r="113" spans="1:8">
      <c r="A113" s="23"/>
      <c r="H113" s="24"/>
    </row>
    <row r="114" spans="1:8">
      <c r="A114" s="35" t="s">
        <v>45</v>
      </c>
      <c r="B114" s="36" t="s">
        <v>50</v>
      </c>
      <c r="C114" s="36"/>
      <c r="D114" s="36"/>
      <c r="E114" s="36"/>
      <c r="H114" s="24"/>
    </row>
    <row r="115" spans="1:8">
      <c r="A115" s="44"/>
      <c r="B115" s="16" t="s">
        <v>20</v>
      </c>
      <c r="C115" s="16" t="s">
        <v>23</v>
      </c>
      <c r="D115" s="16" t="s">
        <v>47</v>
      </c>
      <c r="E115" s="16" t="s">
        <v>19</v>
      </c>
      <c r="H115" s="24"/>
    </row>
    <row r="116" spans="1:8">
      <c r="A116" s="12" t="s">
        <v>48</v>
      </c>
      <c r="B116" s="18">
        <f>1/31</f>
        <v>3.2258064516129031E-2</v>
      </c>
      <c r="C116" s="18">
        <f>1/31</f>
        <v>3.2258064516129031E-2</v>
      </c>
      <c r="D116" s="18">
        <f>1/31</f>
        <v>3.2258064516129031E-2</v>
      </c>
      <c r="E116" s="18">
        <f>2/31</f>
        <v>6.4516129032258063E-2</v>
      </c>
      <c r="H116" s="24"/>
    </row>
    <row r="117" spans="1:8">
      <c r="A117" s="14" t="s">
        <v>49</v>
      </c>
      <c r="B117" s="18">
        <f>2/32</f>
        <v>6.25E-2</v>
      </c>
      <c r="C117" s="18">
        <f>2/32</f>
        <v>6.25E-2</v>
      </c>
      <c r="D117" s="18">
        <f>2/32</f>
        <v>6.25E-2</v>
      </c>
      <c r="E117" s="18">
        <f>2/32</f>
        <v>6.25E-2</v>
      </c>
      <c r="H117" s="24"/>
    </row>
    <row r="118" spans="1:8">
      <c r="A118" s="23"/>
      <c r="H118" s="24"/>
    </row>
    <row r="119" spans="1:8">
      <c r="A119" s="23"/>
      <c r="H119" s="24"/>
    </row>
    <row r="120" spans="1:8">
      <c r="A120" s="23"/>
      <c r="H120" s="24"/>
    </row>
    <row r="121" spans="1:8">
      <c r="A121" s="23"/>
      <c r="H121" s="24"/>
    </row>
    <row r="122" spans="1:8">
      <c r="A122" s="35" t="s">
        <v>45</v>
      </c>
      <c r="B122" s="36" t="s">
        <v>72</v>
      </c>
      <c r="C122" s="36"/>
      <c r="D122" s="36"/>
      <c r="E122" s="36"/>
      <c r="F122" s="45" t="s">
        <v>55</v>
      </c>
      <c r="H122" s="24"/>
    </row>
    <row r="123" spans="1:8">
      <c r="A123" s="44"/>
      <c r="B123" s="16" t="s">
        <v>20</v>
      </c>
      <c r="C123" s="16" t="s">
        <v>23</v>
      </c>
      <c r="D123" s="16" t="s">
        <v>47</v>
      </c>
      <c r="E123" s="16" t="s">
        <v>19</v>
      </c>
      <c r="F123" s="45"/>
      <c r="H123" s="24"/>
    </row>
    <row r="124" spans="1:8">
      <c r="A124" s="12" t="s">
        <v>48</v>
      </c>
      <c r="B124" s="18">
        <f>1/31</f>
        <v>3.2258064516129031E-2</v>
      </c>
      <c r="C124" s="18">
        <f>1/31</f>
        <v>3.2258064516129031E-2</v>
      </c>
      <c r="D124" s="18">
        <f>1/31</f>
        <v>3.2258064516129031E-2</v>
      </c>
      <c r="E124" s="18">
        <f>2/31</f>
        <v>6.4516129032258063E-2</v>
      </c>
      <c r="F124" s="25">
        <f>B124*C124*D124*E124</f>
        <v>2.165624820659194E-6</v>
      </c>
      <c r="H124" s="24"/>
    </row>
    <row r="125" spans="1:8">
      <c r="A125" s="14" t="s">
        <v>49</v>
      </c>
      <c r="B125" s="18">
        <f>2/32</f>
        <v>6.25E-2</v>
      </c>
      <c r="C125" s="18">
        <f>2/32</f>
        <v>6.25E-2</v>
      </c>
      <c r="D125" s="18">
        <f>2/32</f>
        <v>6.25E-2</v>
      </c>
      <c r="E125" s="18">
        <f>2/32</f>
        <v>6.25E-2</v>
      </c>
      <c r="F125" s="25">
        <f>B125*C125*D125*E125</f>
        <v>1.52587890625E-5</v>
      </c>
      <c r="H125" s="24"/>
    </row>
    <row r="126" spans="1:8">
      <c r="A126" s="23"/>
      <c r="H126" s="24"/>
    </row>
    <row r="127" spans="1:8">
      <c r="A127" s="23"/>
      <c r="H127" s="24"/>
    </row>
    <row r="128" spans="1:8">
      <c r="A128" s="23"/>
      <c r="H128" s="24"/>
    </row>
    <row r="129" spans="1:8">
      <c r="A129" s="37" t="s">
        <v>57</v>
      </c>
      <c r="B129" s="37"/>
      <c r="C129" s="37"/>
      <c r="D129" s="37"/>
      <c r="E129" s="37"/>
      <c r="F129" s="37"/>
      <c r="H129" s="24"/>
    </row>
    <row r="130" spans="1:8">
      <c r="A130" s="12" t="s">
        <v>48</v>
      </c>
      <c r="B130" s="3" t="s">
        <v>73</v>
      </c>
      <c r="C130" s="38">
        <f>F124*(7/10)</f>
        <v>1.5159373744614356E-6</v>
      </c>
      <c r="D130" s="38"/>
      <c r="E130" s="38"/>
      <c r="F130" s="38"/>
      <c r="H130" s="24"/>
    </row>
    <row r="131" spans="1:8">
      <c r="A131" s="14" t="s">
        <v>49</v>
      </c>
      <c r="B131" s="3" t="s">
        <v>59</v>
      </c>
      <c r="C131" s="38">
        <f>F54*(3/10)</f>
        <v>1.0503833899373273E-5</v>
      </c>
      <c r="D131" s="38"/>
      <c r="E131" s="38"/>
      <c r="F131" s="38"/>
      <c r="H131" s="24"/>
    </row>
    <row r="132" spans="1:8">
      <c r="A132" s="23"/>
      <c r="H132" s="24"/>
    </row>
    <row r="133" spans="1:8">
      <c r="A133" s="23"/>
      <c r="H133" s="24"/>
    </row>
    <row r="134" spans="1:8">
      <c r="A134" s="23"/>
      <c r="H134" s="24"/>
    </row>
    <row r="135" spans="1:8">
      <c r="A135" s="23"/>
      <c r="H135" s="24"/>
    </row>
    <row r="136" spans="1:8">
      <c r="A136" s="32"/>
      <c r="B136" s="33"/>
      <c r="C136" s="33"/>
      <c r="D136" s="33"/>
      <c r="E136" s="33"/>
      <c r="F136" s="33"/>
      <c r="G136" s="33"/>
      <c r="H136" s="34"/>
    </row>
  </sheetData>
  <mergeCells count="40">
    <mergeCell ref="D4:E5"/>
    <mergeCell ref="G4:H5"/>
    <mergeCell ref="D14:E16"/>
    <mergeCell ref="B51:E52"/>
    <mergeCell ref="B67:C68"/>
    <mergeCell ref="A64:H65"/>
    <mergeCell ref="A56:H57"/>
    <mergeCell ref="A27:H28"/>
    <mergeCell ref="C131:F131"/>
    <mergeCell ref="A4:A5"/>
    <mergeCell ref="A30:A31"/>
    <mergeCell ref="A37:A38"/>
    <mergeCell ref="A44:A45"/>
    <mergeCell ref="A51:A52"/>
    <mergeCell ref="A95:A96"/>
    <mergeCell ref="A101:A102"/>
    <mergeCell ref="A107:A108"/>
    <mergeCell ref="A114:A115"/>
    <mergeCell ref="A122:A123"/>
    <mergeCell ref="B4:B5"/>
    <mergeCell ref="D67:D68"/>
    <mergeCell ref="F51:F52"/>
    <mergeCell ref="F95:F96"/>
    <mergeCell ref="F122:F123"/>
    <mergeCell ref="B107:E107"/>
    <mergeCell ref="B114:E114"/>
    <mergeCell ref="B122:E122"/>
    <mergeCell ref="A129:F129"/>
    <mergeCell ref="C130:F130"/>
    <mergeCell ref="C60:F60"/>
    <mergeCell ref="C61:F61"/>
    <mergeCell ref="B97:E97"/>
    <mergeCell ref="B98:E98"/>
    <mergeCell ref="B101:E101"/>
    <mergeCell ref="B95:E96"/>
    <mergeCell ref="C22:E22"/>
    <mergeCell ref="B30:E30"/>
    <mergeCell ref="B37:E37"/>
    <mergeCell ref="B44:E44"/>
    <mergeCell ref="A59:F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alputra</dc:creator>
  <cp:lastModifiedBy>Windows User</cp:lastModifiedBy>
  <dcterms:created xsi:type="dcterms:W3CDTF">2019-03-26T08:24:04Z</dcterms:created>
  <dcterms:modified xsi:type="dcterms:W3CDTF">2019-04-11T01:26:37Z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