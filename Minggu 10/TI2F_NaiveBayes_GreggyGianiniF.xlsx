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<sst xmlns="http://schemas.openxmlformats.org/spreadsheetml/2006/main" count="180" uniqueCount="82">
  <si>
    <t xml:space="preserve">Text</t>
  </si>
  <si>
    <t xml:space="preserve">Label</t>
  </si>
  <si>
    <t xml:space="preserve">positive BoW</t>
  </si>
  <si>
    <t xml:space="preserve">negative BoW</t>
  </si>
  <si>
    <t xml:space="preserve">bukunya bagus</t>
  </si>
  <si>
    <t xml:space="preserve">positive</t>
  </si>
  <si>
    <t xml:space="preserve">bukunya</t>
  </si>
  <si>
    <t xml:space="preserve">kertasnya</t>
  </si>
  <si>
    <t xml:space="preserve">barang sampai dengan aman</t>
  </si>
  <si>
    <t xml:space="preserve">bagus</t>
  </si>
  <si>
    <t xml:space="preserve">jelek</t>
  </si>
  <si>
    <t xml:space="preserve">barang sesuai dengan deskripsi</t>
  </si>
  <si>
    <t xml:space="preserve">barang</t>
  </si>
  <si>
    <t xml:space="preserve">banyak</t>
  </si>
  <si>
    <t xml:space="preserve">kertasnya jelek</t>
  </si>
  <si>
    <t xml:space="preserve">negative</t>
  </si>
  <si>
    <t xml:space="preserve">sampai</t>
  </si>
  <si>
    <t xml:space="preserve">tulisan</t>
  </si>
  <si>
    <t xml:space="preserve">respon cepat</t>
  </si>
  <si>
    <t xml:space="preserve">dengan</t>
  </si>
  <si>
    <t xml:space="preserve">yang</t>
  </si>
  <si>
    <t xml:space="preserve">banyak tulisan yang salah</t>
  </si>
  <si>
    <t xml:space="preserve">aman</t>
  </si>
  <si>
    <t xml:space="preserve">salah</t>
  </si>
  <si>
    <t xml:space="preserve">nggak ori</t>
  </si>
  <si>
    <t xml:space="preserve">sesuai</t>
  </si>
  <si>
    <t xml:space="preserve">nggak</t>
  </si>
  <si>
    <t xml:space="preserve">harga terjangkau</t>
  </si>
  <si>
    <t xml:space="preserve">deskripsi</t>
  </si>
  <si>
    <t xml:space="preserve">ori</t>
  </si>
  <si>
    <t xml:space="preserve">bukunya lecek</t>
  </si>
  <si>
    <t xml:space="preserve">respon</t>
  </si>
  <si>
    <t xml:space="preserve">packing rapi</t>
  </si>
  <si>
    <t xml:space="preserve">cepat</t>
  </si>
  <si>
    <t xml:space="preserve">lecek</t>
  </si>
  <si>
    <t xml:space="preserve">harga</t>
  </si>
  <si>
    <t xml:space="preserve">Vocabulary = 10</t>
  </si>
  <si>
    <t xml:space="preserve">terjangkau</t>
  </si>
  <si>
    <t xml:space="preserve">packing</t>
  </si>
  <si>
    <t xml:space="preserve">rapi</t>
  </si>
  <si>
    <t xml:space="preserve">Vocabulary = 14</t>
  </si>
  <si>
    <t xml:space="preserve">TOKENIZIATION</t>
  </si>
  <si>
    <t xml:space="preserve">Menghitung p(c)</t>
  </si>
  <si>
    <t xml:space="preserve">bukunya sangat terjangkau</t>
  </si>
  <si>
    <t xml:space="preserve">class c</t>
  </si>
  <si>
    <t xml:space="preserve">jumlah data training</t>
  </si>
  <si>
    <t xml:space="preserve">pada p(c)</t>
  </si>
  <si>
    <t xml:space="preserve">6/(6+4)/10 = 6/10</t>
  </si>
  <si>
    <t xml:space="preserve">4/(4+6)/10 = 4/10</t>
  </si>
  <si>
    <t xml:space="preserve">RUMUS</t>
  </si>
  <si>
    <t xml:space="preserve">CLASSC</t>
  </si>
  <si>
    <t xml:space="preserve">Jumlah kemunculan kata data test pada class c</t>
  </si>
  <si>
    <t xml:space="preserve">sangat</t>
  </si>
  <si>
    <t xml:space="preserve"> positive class</t>
  </si>
  <si>
    <t xml:space="preserve">negative class</t>
  </si>
  <si>
    <t xml:space="preserve">prob kemunculan kata data test pada class c</t>
  </si>
  <si>
    <t xml:space="preserve">1/16</t>
  </si>
  <si>
    <t xml:space="preserve">0/16</t>
  </si>
  <si>
    <t xml:space="preserve">1/10</t>
  </si>
  <si>
    <t xml:space="preserve">0/10</t>
  </si>
  <si>
    <t xml:space="preserve">perkalian prob</t>
  </si>
  <si>
    <t xml:space="preserve">total</t>
  </si>
  <si>
    <t xml:space="preserve">HASIL </t>
  </si>
  <si>
    <t xml:space="preserve">perhitungan naive bayes</t>
  </si>
  <si>
    <t xml:space="preserve">0*(6/10)</t>
  </si>
  <si>
    <t xml:space="preserve">0*(4/10)</t>
  </si>
  <si>
    <t xml:space="preserve">LAPLACE(Sebenarnya tidak karna telah ketemu hasil yang atas)</t>
  </si>
  <si>
    <t xml:space="preserve">vocabulary kedua kelas</t>
  </si>
  <si>
    <t xml:space="preserve">count</t>
  </si>
  <si>
    <t xml:space="preserve">Vocabulary 24</t>
  </si>
  <si>
    <t xml:space="preserve">jumlah vocabulary pada class c+ V +1</t>
  </si>
  <si>
    <t xml:space="preserve">16+24</t>
  </si>
  <si>
    <t xml:space="preserve">10+24</t>
  </si>
  <si>
    <t xml:space="preserve">1+1</t>
  </si>
  <si>
    <t xml:space="preserve">0+1</t>
  </si>
  <si>
    <t xml:space="preserve">2/40</t>
  </si>
  <si>
    <t xml:space="preserve">1/40</t>
  </si>
  <si>
    <t xml:space="preserve">2/34</t>
  </si>
  <si>
    <t xml:space="preserve">1/34</t>
  </si>
  <si>
    <t xml:space="preserve">jumlah</t>
  </si>
  <si>
    <t xml:space="preserve">6.25E-05*(6/10)</t>
  </si>
  <si>
    <t xml:space="preserve">5.0885406066E-05*(4/10)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</si>
</sst>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1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sz val="10"/>
      <color rgb="FF222222"/>
      <name val="Verdana"/>
      <family val="0"/>
      <charset val="1"/>
    </font>
    <font>
      <sz val="10"/>
      <color rgb="FF222222"/>
      <name val="verdana"/>
      <family val="2"/>
      <charset val="1"/>
    </font>
    <font>
      <sz val="10"/>
      <color rgb="FF000000"/>
      <name val="verdana"/>
      <family val="2"/>
      <charset val="1"/>
    </font>
    <font>
      <sz val="9"/>
      <color rgb="FF222222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rgb="FF969696"/>
      </patternFill>
    </fill>
    <fill>
      <patternFill patternType="solid">
        <fgColor rgb="FFFFC000"/>
        <bgColor rgb="FFFF9900"/>
      </patternFill>
    </fill>
    <fill>
      <patternFill patternType="solid">
        <fgColor rgb="FF44546A"/>
        <bgColor rgb="FF33339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4546A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4:I1048576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E87" activeCellId="0" sqref="E87"/>
    </sheetView>
  </sheetViews>
  <sheetFormatPr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7.29"/>
    <col collapsed="false" customWidth="true" hidden="false" outlineLevel="0" max="3" min="3" style="0" width="12.42"/>
    <col collapsed="false" customWidth="true" hidden="false" outlineLevel="0" max="4" min="4" style="0" width="16.86"/>
    <col collapsed="false" customWidth="true" hidden="false" outlineLevel="0" max="5" min="5" style="0" width="17.86"/>
    <col collapsed="false" customWidth="true" hidden="false" outlineLevel="0" max="6" min="6" style="0" width="12.42"/>
    <col collapsed="false" customWidth="true" hidden="false" outlineLevel="0" max="7" min="7" style="0" width="15"/>
    <col collapsed="false" customWidth="true" hidden="false" outlineLevel="0" max="8" min="8" style="0" width="12.5"/>
    <col collapsed="false" customWidth="true" hidden="false" outlineLevel="0" max="11" min="9" style="0" width="8.86"/>
    <col collapsed="false" customWidth="true" hidden="false" outlineLevel="0" max="1025" min="12" style="0" width="14.43"/>
  </cols>
  <sheetData>
    <row r="4" customFormat="false" ht="15" hidden="false" customHeight="false" outlineLevel="0" collapsed="false">
      <c r="A4" s="1" t="s">
        <v>0</v>
      </c>
      <c r="B4" s="1" t="s">
        <v>1</v>
      </c>
      <c r="D4" s="2" t="s">
        <v>2</v>
      </c>
      <c r="E4" s="2"/>
      <c r="G4" s="3" t="s">
        <v>3</v>
      </c>
      <c r="H4" s="3"/>
    </row>
    <row r="5" customFormat="false" ht="15" hidden="false" customHeight="false" outlineLevel="0" collapsed="false">
      <c r="A5" s="1"/>
      <c r="B5" s="1"/>
      <c r="D5" s="2"/>
      <c r="E5" s="2"/>
      <c r="G5" s="3"/>
      <c r="H5" s="3"/>
    </row>
    <row r="6" customFormat="false" ht="14.25" hidden="false" customHeight="true" outlineLevel="0" collapsed="false">
      <c r="A6" s="4" t="s">
        <v>4</v>
      </c>
      <c r="B6" s="2" t="s">
        <v>5</v>
      </c>
      <c r="D6" s="5" t="s">
        <v>6</v>
      </c>
      <c r="E6" s="5" t="n">
        <v>1</v>
      </c>
      <c r="G6" s="6" t="s">
        <v>7</v>
      </c>
      <c r="H6" s="5" t="n">
        <v>1</v>
      </c>
    </row>
    <row r="7" customFormat="false" ht="14.25" hidden="false" customHeight="true" outlineLevel="0" collapsed="false">
      <c r="A7" s="4" t="s">
        <v>8</v>
      </c>
      <c r="B7" s="2" t="s">
        <v>5</v>
      </c>
      <c r="D7" s="5" t="s">
        <v>9</v>
      </c>
      <c r="E7" s="5" t="n">
        <v>1</v>
      </c>
      <c r="G7" s="6" t="s">
        <v>10</v>
      </c>
      <c r="H7" s="5" t="n">
        <v>1</v>
      </c>
    </row>
    <row r="8" customFormat="false" ht="14.25" hidden="false" customHeight="true" outlineLevel="0" collapsed="false">
      <c r="A8" s="4" t="s">
        <v>11</v>
      </c>
      <c r="B8" s="2" t="s">
        <v>5</v>
      </c>
      <c r="D8" s="5" t="s">
        <v>12</v>
      </c>
      <c r="E8" s="5" t="n">
        <v>2</v>
      </c>
      <c r="G8" s="6" t="s">
        <v>13</v>
      </c>
      <c r="H8" s="5" t="n">
        <v>1</v>
      </c>
    </row>
    <row r="9" customFormat="false" ht="14.25" hidden="false" customHeight="true" outlineLevel="0" collapsed="false">
      <c r="A9" s="4" t="s">
        <v>14</v>
      </c>
      <c r="B9" s="3" t="s">
        <v>15</v>
      </c>
      <c r="D9" s="5" t="s">
        <v>16</v>
      </c>
      <c r="E9" s="5" t="n">
        <v>1</v>
      </c>
      <c r="G9" s="6" t="s">
        <v>17</v>
      </c>
      <c r="H9" s="5" t="n">
        <v>1</v>
      </c>
    </row>
    <row r="10" customFormat="false" ht="14.25" hidden="false" customHeight="true" outlineLevel="0" collapsed="false">
      <c r="A10" s="4" t="s">
        <v>18</v>
      </c>
      <c r="B10" s="2" t="s">
        <v>5</v>
      </c>
      <c r="D10" s="5" t="s">
        <v>19</v>
      </c>
      <c r="E10" s="5" t="n">
        <v>2</v>
      </c>
      <c r="G10" s="6" t="s">
        <v>20</v>
      </c>
      <c r="H10" s="5" t="n">
        <v>1</v>
      </c>
    </row>
    <row r="11" customFormat="false" ht="14.25" hidden="false" customHeight="true" outlineLevel="0" collapsed="false">
      <c r="A11" s="4" t="s">
        <v>21</v>
      </c>
      <c r="B11" s="3" t="s">
        <v>15</v>
      </c>
      <c r="D11" s="5" t="s">
        <v>22</v>
      </c>
      <c r="E11" s="5" t="n">
        <v>1</v>
      </c>
      <c r="G11" s="6" t="s">
        <v>23</v>
      </c>
      <c r="H11" s="5" t="n">
        <v>1</v>
      </c>
    </row>
    <row r="12" customFormat="false" ht="14.25" hidden="false" customHeight="true" outlineLevel="0" collapsed="false">
      <c r="A12" s="4" t="s">
        <v>24</v>
      </c>
      <c r="B12" s="3" t="s">
        <v>15</v>
      </c>
      <c r="D12" s="7" t="s">
        <v>25</v>
      </c>
      <c r="E12" s="7" t="n">
        <v>1</v>
      </c>
      <c r="G12" s="5" t="s">
        <v>26</v>
      </c>
      <c r="H12" s="5" t="n">
        <v>1</v>
      </c>
    </row>
    <row r="13" customFormat="false" ht="14.25" hidden="false" customHeight="true" outlineLevel="0" collapsed="false">
      <c r="A13" s="8" t="s">
        <v>27</v>
      </c>
      <c r="B13" s="2" t="s">
        <v>5</v>
      </c>
      <c r="D13" s="5" t="s">
        <v>28</v>
      </c>
      <c r="E13" s="5" t="n">
        <v>1</v>
      </c>
      <c r="G13" s="5" t="s">
        <v>29</v>
      </c>
      <c r="H13" s="5" t="n">
        <v>1</v>
      </c>
    </row>
    <row r="14" customFormat="false" ht="14.25" hidden="false" customHeight="true" outlineLevel="0" collapsed="false">
      <c r="A14" s="9" t="s">
        <v>30</v>
      </c>
      <c r="B14" s="10" t="s">
        <v>15</v>
      </c>
      <c r="D14" s="5" t="s">
        <v>31</v>
      </c>
      <c r="E14" s="5" t="n">
        <v>1</v>
      </c>
      <c r="G14" s="7" t="s">
        <v>6</v>
      </c>
      <c r="H14" s="7" t="n">
        <v>1</v>
      </c>
    </row>
    <row r="15" customFormat="false" ht="14.25" hidden="false" customHeight="true" outlineLevel="0" collapsed="false">
      <c r="A15" s="11" t="s">
        <v>32</v>
      </c>
      <c r="B15" s="2" t="s">
        <v>5</v>
      </c>
      <c r="D15" s="5" t="s">
        <v>33</v>
      </c>
      <c r="E15" s="5" t="n">
        <v>1</v>
      </c>
      <c r="G15" s="5" t="s">
        <v>34</v>
      </c>
      <c r="H15" s="5" t="n">
        <v>1</v>
      </c>
    </row>
    <row r="16" customFormat="false" ht="14.25" hidden="false" customHeight="true" outlineLevel="0" collapsed="false">
      <c r="A16" s="12"/>
      <c r="B16" s="13"/>
      <c r="D16" s="5" t="s">
        <v>35</v>
      </c>
      <c r="E16" s="5" t="n">
        <v>1</v>
      </c>
      <c r="G16" s="14" t="s">
        <v>36</v>
      </c>
      <c r="H16" s="14" t="n">
        <f aca="false">SUM(H6:H15)</f>
        <v>10</v>
      </c>
    </row>
    <row r="17" customFormat="false" ht="14.25" hidden="false" customHeight="true" outlineLevel="0" collapsed="false">
      <c r="A17" s="12"/>
      <c r="B17" s="13"/>
      <c r="D17" s="5" t="s">
        <v>37</v>
      </c>
      <c r="E17" s="5" t="n">
        <v>1</v>
      </c>
    </row>
    <row r="18" customFormat="false" ht="14.25" hidden="false" customHeight="true" outlineLevel="0" collapsed="false">
      <c r="A18" s="12"/>
      <c r="B18" s="13"/>
      <c r="D18" s="5" t="s">
        <v>38</v>
      </c>
      <c r="E18" s="5" t="n">
        <v>1</v>
      </c>
    </row>
    <row r="19" customFormat="false" ht="14.25" hidden="false" customHeight="true" outlineLevel="0" collapsed="false">
      <c r="A19" s="12"/>
      <c r="B19" s="13"/>
      <c r="D19" s="5" t="s">
        <v>39</v>
      </c>
      <c r="E19" s="5" t="n">
        <v>1</v>
      </c>
    </row>
    <row r="20" customFormat="false" ht="14.25" hidden="false" customHeight="true" outlineLevel="0" collapsed="false">
      <c r="A20" s="12"/>
      <c r="B20" s="13"/>
      <c r="D20" s="14" t="s">
        <v>40</v>
      </c>
      <c r="E20" s="14" t="n">
        <f aca="false">SUM(E6:E19)</f>
        <v>16</v>
      </c>
      <c r="G20" s="15"/>
      <c r="H20" s="15"/>
    </row>
    <row r="21" customFormat="false" ht="14.25" hidden="false" customHeight="true" outlineLevel="0" collapsed="false">
      <c r="A21" s="12"/>
      <c r="B21" s="13"/>
      <c r="D21" s="15"/>
      <c r="E21" s="15"/>
      <c r="G21" s="15"/>
      <c r="H21" s="15"/>
    </row>
    <row r="22" customFormat="false" ht="14.25" hidden="false" customHeight="true" outlineLevel="0" collapsed="false">
      <c r="G22" s="15"/>
      <c r="H22" s="15"/>
    </row>
    <row r="23" customFormat="false" ht="15" hidden="false" customHeight="false" outlineLevel="0" collapsed="false">
      <c r="G23" s="15"/>
      <c r="H23" s="15"/>
    </row>
    <row r="24" customFormat="false" ht="15" hidden="false" customHeight="false" outlineLevel="0" collapsed="false">
      <c r="G24" s="15"/>
      <c r="H24" s="15"/>
    </row>
    <row r="29" customFormat="false" ht="15.75" hidden="false" customHeight="true" outlineLevel="0" collapsed="false"/>
    <row r="30" customFormat="false" ht="15.75" hidden="false" customHeight="true" outlineLevel="0" collapsed="false">
      <c r="A30" s="1" t="s">
        <v>41</v>
      </c>
      <c r="C30" s="1" t="s">
        <v>42</v>
      </c>
      <c r="D30" s="1"/>
      <c r="E30" s="1"/>
    </row>
    <row r="31" customFormat="false" ht="15.75" hidden="false" customHeight="true" outlineLevel="0" collapsed="false">
      <c r="A31" s="16" t="s">
        <v>43</v>
      </c>
      <c r="C31" s="17" t="s">
        <v>44</v>
      </c>
      <c r="D31" s="17" t="s">
        <v>45</v>
      </c>
      <c r="E31" s="17" t="s">
        <v>46</v>
      </c>
    </row>
    <row r="32" customFormat="false" ht="15.75" hidden="false" customHeight="true" outlineLevel="0" collapsed="false">
      <c r="C32" s="18" t="s">
        <v>5</v>
      </c>
      <c r="D32" s="18" t="n">
        <v>6</v>
      </c>
      <c r="E32" s="18" t="s">
        <v>47</v>
      </c>
    </row>
    <row r="33" customFormat="false" ht="15.75" hidden="false" customHeight="true" outlineLevel="0" collapsed="false">
      <c r="C33" s="19" t="s">
        <v>15</v>
      </c>
      <c r="D33" s="19" t="n">
        <v>4</v>
      </c>
      <c r="E33" s="19" t="s">
        <v>48</v>
      </c>
    </row>
    <row r="34" customFormat="false" ht="15.75" hidden="false" customHeight="true" outlineLevel="0" collapsed="false"/>
    <row r="35" customFormat="false" ht="15.75" hidden="false" customHeight="true" outlineLevel="0" collapsed="false">
      <c r="A35" s="20" t="s">
        <v>49</v>
      </c>
      <c r="B35" s="20"/>
      <c r="C35" s="20"/>
      <c r="D35" s="20"/>
      <c r="E35" s="20"/>
      <c r="F35" s="20"/>
      <c r="G35" s="20"/>
      <c r="H35" s="20"/>
    </row>
    <row r="36" customFormat="false" ht="15.75" hidden="false" customHeight="true" outlineLevel="0" collapsed="false">
      <c r="A36" s="20"/>
      <c r="B36" s="20"/>
      <c r="C36" s="20"/>
      <c r="D36" s="20"/>
      <c r="E36" s="20"/>
      <c r="F36" s="20"/>
      <c r="G36" s="20"/>
      <c r="H36" s="20"/>
    </row>
    <row r="37" customFormat="false" ht="15.75" hidden="false" customHeight="true" outlineLevel="0" collapsed="false"/>
    <row r="38" customFormat="false" ht="14.25" hidden="false" customHeight="true" outlineLevel="0" collapsed="false">
      <c r="A38" s="1" t="s">
        <v>50</v>
      </c>
      <c r="B38" s="21" t="s">
        <v>51</v>
      </c>
      <c r="C38" s="21"/>
      <c r="D38" s="21"/>
      <c r="E38" s="22"/>
      <c r="F38" s="15"/>
    </row>
    <row r="39" customFormat="false" ht="14.25" hidden="false" customHeight="true" outlineLevel="0" collapsed="false">
      <c r="A39" s="1"/>
      <c r="B39" s="16" t="s">
        <v>6</v>
      </c>
      <c r="C39" s="16" t="s">
        <v>52</v>
      </c>
      <c r="D39" s="23" t="s">
        <v>37</v>
      </c>
      <c r="E39" s="24"/>
      <c r="F39" s="15"/>
    </row>
    <row r="40" customFormat="false" ht="15.75" hidden="false" customHeight="true" outlineLevel="0" collapsed="false">
      <c r="A40" s="18" t="s">
        <v>53</v>
      </c>
      <c r="B40" s="5" t="n">
        <v>1</v>
      </c>
      <c r="C40" s="5" t="n">
        <v>0</v>
      </c>
      <c r="D40" s="25" t="n">
        <v>1</v>
      </c>
      <c r="E40" s="6"/>
    </row>
    <row r="41" customFormat="false" ht="15.75" hidden="false" customHeight="true" outlineLevel="0" collapsed="false">
      <c r="A41" s="19" t="s">
        <v>54</v>
      </c>
      <c r="B41" s="5" t="n">
        <v>1</v>
      </c>
      <c r="C41" s="5" t="n">
        <v>0</v>
      </c>
      <c r="D41" s="25" t="n">
        <v>0</v>
      </c>
      <c r="E41" s="6"/>
    </row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>
      <c r="A45" s="1" t="s">
        <v>50</v>
      </c>
      <c r="B45" s="21" t="s">
        <v>55</v>
      </c>
      <c r="C45" s="21"/>
      <c r="D45" s="21"/>
      <c r="E45" s="22"/>
    </row>
    <row r="46" customFormat="false" ht="15.75" hidden="false" customHeight="true" outlineLevel="0" collapsed="false">
      <c r="A46" s="1"/>
      <c r="B46" s="16" t="s">
        <v>6</v>
      </c>
      <c r="C46" s="16" t="s">
        <v>52</v>
      </c>
      <c r="D46" s="23" t="s">
        <v>37</v>
      </c>
      <c r="E46" s="24"/>
    </row>
    <row r="47" customFormat="false" ht="15.75" hidden="false" customHeight="true" outlineLevel="0" collapsed="false">
      <c r="A47" s="18" t="s">
        <v>53</v>
      </c>
      <c r="B47" s="26" t="s">
        <v>56</v>
      </c>
      <c r="C47" s="26" t="s">
        <v>57</v>
      </c>
      <c r="D47" s="27" t="s">
        <v>56</v>
      </c>
      <c r="E47" s="28"/>
    </row>
    <row r="48" customFormat="false" ht="15.75" hidden="false" customHeight="true" outlineLevel="0" collapsed="false">
      <c r="A48" s="19" t="s">
        <v>54</v>
      </c>
      <c r="B48" s="26" t="s">
        <v>58</v>
      </c>
      <c r="C48" s="26" t="s">
        <v>59</v>
      </c>
      <c r="D48" s="27" t="s">
        <v>59</v>
      </c>
      <c r="E48" s="28"/>
    </row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>
      <c r="A52" s="1" t="s">
        <v>50</v>
      </c>
      <c r="B52" s="21" t="s">
        <v>55</v>
      </c>
      <c r="C52" s="21"/>
      <c r="D52" s="21"/>
      <c r="E52" s="22"/>
    </row>
    <row r="53" customFormat="false" ht="15.75" hidden="false" customHeight="true" outlineLevel="0" collapsed="false">
      <c r="A53" s="1"/>
      <c r="B53" s="16" t="s">
        <v>6</v>
      </c>
      <c r="C53" s="16" t="s">
        <v>52</v>
      </c>
      <c r="D53" s="23" t="s">
        <v>37</v>
      </c>
      <c r="E53" s="24"/>
    </row>
    <row r="54" customFormat="false" ht="15.75" hidden="false" customHeight="true" outlineLevel="0" collapsed="false">
      <c r="A54" s="18" t="s">
        <v>53</v>
      </c>
      <c r="B54" s="5" t="n">
        <f aca="false">1/16</f>
        <v>0.0625</v>
      </c>
      <c r="C54" s="5" t="n">
        <f aca="false">0/16</f>
        <v>0</v>
      </c>
      <c r="D54" s="25" t="n">
        <f aca="false">1/16</f>
        <v>0.0625</v>
      </c>
      <c r="E54" s="6"/>
    </row>
    <row r="55" customFormat="false" ht="15.75" hidden="false" customHeight="true" outlineLevel="0" collapsed="false">
      <c r="A55" s="19" t="s">
        <v>54</v>
      </c>
      <c r="B55" s="5" t="n">
        <f aca="false">1/10</f>
        <v>0.1</v>
      </c>
      <c r="C55" s="5" t="n">
        <f aca="false">0/10</f>
        <v>0</v>
      </c>
      <c r="D55" s="25" t="n">
        <f aca="false">0/10</f>
        <v>0</v>
      </c>
      <c r="E55" s="6"/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>
      <c r="A59" s="1" t="s">
        <v>50</v>
      </c>
      <c r="B59" s="21" t="s">
        <v>60</v>
      </c>
      <c r="C59" s="21"/>
      <c r="D59" s="21"/>
      <c r="E59" s="29" t="s">
        <v>61</v>
      </c>
    </row>
    <row r="60" customFormat="false" ht="15.75" hidden="false" customHeight="true" outlineLevel="0" collapsed="false">
      <c r="A60" s="1"/>
      <c r="B60" s="21"/>
      <c r="C60" s="21"/>
      <c r="D60" s="21"/>
      <c r="E60" s="29"/>
    </row>
    <row r="61" customFormat="false" ht="15.75" hidden="false" customHeight="true" outlineLevel="0" collapsed="false">
      <c r="A61" s="18" t="s">
        <v>53</v>
      </c>
      <c r="B61" s="5" t="n">
        <f aca="false">1/16</f>
        <v>0.0625</v>
      </c>
      <c r="C61" s="5" t="n">
        <f aca="false">0/16</f>
        <v>0</v>
      </c>
      <c r="D61" s="25" t="n">
        <f aca="false">1/16</f>
        <v>0.0625</v>
      </c>
      <c r="E61" s="5" t="n">
        <f aca="false">B61*C61*D61</f>
        <v>0</v>
      </c>
    </row>
    <row r="62" customFormat="false" ht="15.75" hidden="false" customHeight="true" outlineLevel="0" collapsed="false">
      <c r="A62" s="19" t="s">
        <v>54</v>
      </c>
      <c r="B62" s="5" t="n">
        <f aca="false">1/10</f>
        <v>0.1</v>
      </c>
      <c r="C62" s="5" t="n">
        <f aca="false">0/10</f>
        <v>0</v>
      </c>
      <c r="D62" s="25" t="n">
        <f aca="false">0/10</f>
        <v>0</v>
      </c>
      <c r="E62" s="5" t="n">
        <f aca="false">B62*C62*D62</f>
        <v>0</v>
      </c>
    </row>
    <row r="63" customFormat="false" ht="15.75" hidden="false" customHeight="true" outlineLevel="0" collapsed="false"/>
    <row r="64" customFormat="false" ht="15.75" hidden="false" customHeight="true" outlineLevel="0" collapsed="false">
      <c r="A64" s="20" t="s">
        <v>62</v>
      </c>
      <c r="B64" s="20"/>
      <c r="C64" s="20"/>
      <c r="D64" s="20"/>
      <c r="E64" s="20"/>
      <c r="F64" s="20"/>
      <c r="G64" s="20"/>
      <c r="H64" s="20"/>
    </row>
    <row r="65" customFormat="false" ht="15.75" hidden="false" customHeight="true" outlineLevel="0" collapsed="false">
      <c r="A65" s="20"/>
      <c r="B65" s="20"/>
      <c r="C65" s="20"/>
      <c r="D65" s="20"/>
      <c r="E65" s="20"/>
      <c r="F65" s="20"/>
      <c r="G65" s="20"/>
      <c r="H65" s="20"/>
    </row>
    <row r="66" customFormat="false" ht="15.75" hidden="false" customHeight="true" outlineLevel="0" collapsed="false"/>
    <row r="67" customFormat="false" ht="15.75" hidden="false" customHeight="true" outlineLevel="0" collapsed="false">
      <c r="A67" s="30" t="s">
        <v>63</v>
      </c>
      <c r="B67" s="30"/>
      <c r="C67" s="30"/>
      <c r="D67" s="30"/>
      <c r="E67" s="30"/>
      <c r="F67" s="30"/>
    </row>
    <row r="68" customFormat="false" ht="15.75" hidden="false" customHeight="true" outlineLevel="0" collapsed="false">
      <c r="A68" s="18" t="s">
        <v>53</v>
      </c>
      <c r="B68" s="5" t="s">
        <v>64</v>
      </c>
      <c r="C68" s="31" t="n">
        <f aca="false">E61*(6/10)</f>
        <v>0</v>
      </c>
      <c r="D68" s="31"/>
      <c r="E68" s="31"/>
      <c r="F68" s="31"/>
    </row>
    <row r="69" customFormat="false" ht="15.75" hidden="false" customHeight="true" outlineLevel="0" collapsed="false">
      <c r="A69" s="19" t="s">
        <v>54</v>
      </c>
      <c r="B69" s="5" t="s">
        <v>65</v>
      </c>
      <c r="C69" s="31" t="n">
        <f aca="false">E62*(4/10)</f>
        <v>0</v>
      </c>
      <c r="D69" s="31"/>
      <c r="E69" s="31"/>
      <c r="F69" s="31"/>
    </row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>
      <c r="A72" s="20" t="s">
        <v>66</v>
      </c>
      <c r="B72" s="20"/>
      <c r="C72" s="20"/>
      <c r="D72" s="20"/>
      <c r="E72" s="20"/>
      <c r="F72" s="20"/>
      <c r="G72" s="20"/>
      <c r="H72" s="20"/>
    </row>
    <row r="73" customFormat="false" ht="15.75" hidden="false" customHeight="true" outlineLevel="0" collapsed="false">
      <c r="A73" s="20"/>
      <c r="B73" s="20"/>
      <c r="C73" s="20"/>
      <c r="D73" s="20"/>
      <c r="E73" s="20"/>
      <c r="F73" s="20"/>
      <c r="G73" s="20"/>
      <c r="H73" s="20"/>
    </row>
    <row r="74" customFormat="false" ht="15.75" hidden="false" customHeight="true" outlineLevel="0" collapsed="false">
      <c r="A74" s="6"/>
      <c r="H74" s="32"/>
    </row>
    <row r="75" customFormat="false" ht="15.75" hidden="false" customHeight="true" outlineLevel="0" collapsed="false">
      <c r="A75" s="6"/>
      <c r="B75" s="2" t="s">
        <v>67</v>
      </c>
      <c r="C75" s="2"/>
      <c r="D75" s="30" t="s">
        <v>68</v>
      </c>
      <c r="H75" s="32"/>
    </row>
    <row r="76" customFormat="false" ht="15.75" hidden="false" customHeight="true" outlineLevel="0" collapsed="false">
      <c r="A76" s="6"/>
      <c r="B76" s="2"/>
      <c r="C76" s="2"/>
      <c r="D76" s="30"/>
      <c r="H76" s="32"/>
    </row>
    <row r="77" customFormat="false" ht="15.75" hidden="false" customHeight="true" outlineLevel="0" collapsed="false">
      <c r="A77" s="6"/>
      <c r="B77" s="5" t="s">
        <v>6</v>
      </c>
      <c r="C77" s="5" t="n">
        <v>1</v>
      </c>
      <c r="D77" s="5" t="n">
        <v>1</v>
      </c>
      <c r="H77" s="32"/>
    </row>
    <row r="78" customFormat="false" ht="15.75" hidden="false" customHeight="true" outlineLevel="0" collapsed="false">
      <c r="A78" s="6"/>
      <c r="B78" s="5" t="s">
        <v>9</v>
      </c>
      <c r="C78" s="5" t="n">
        <v>1</v>
      </c>
      <c r="D78" s="5" t="n">
        <v>1</v>
      </c>
      <c r="H78" s="32"/>
    </row>
    <row r="79" customFormat="false" ht="15.75" hidden="false" customHeight="true" outlineLevel="0" collapsed="false">
      <c r="A79" s="6"/>
      <c r="B79" s="5" t="s">
        <v>12</v>
      </c>
      <c r="C79" s="5" t="n">
        <v>2</v>
      </c>
      <c r="D79" s="5" t="n">
        <v>1</v>
      </c>
      <c r="H79" s="32"/>
    </row>
    <row r="80" customFormat="false" ht="15.75" hidden="false" customHeight="true" outlineLevel="0" collapsed="false">
      <c r="A80" s="6"/>
      <c r="B80" s="5" t="s">
        <v>16</v>
      </c>
      <c r="C80" s="5" t="n">
        <v>1</v>
      </c>
      <c r="D80" s="5" t="n">
        <v>1</v>
      </c>
      <c r="H80" s="32"/>
    </row>
    <row r="81" customFormat="false" ht="15.75" hidden="false" customHeight="true" outlineLevel="0" collapsed="false">
      <c r="A81" s="6"/>
      <c r="B81" s="5" t="s">
        <v>19</v>
      </c>
      <c r="C81" s="5" t="n">
        <v>2</v>
      </c>
      <c r="D81" s="5" t="n">
        <v>1</v>
      </c>
      <c r="H81" s="32"/>
    </row>
    <row r="82" customFormat="false" ht="15.75" hidden="false" customHeight="true" outlineLevel="0" collapsed="false">
      <c r="A82" s="6"/>
      <c r="B82" s="5" t="s">
        <v>22</v>
      </c>
      <c r="C82" s="5" t="n">
        <v>1</v>
      </c>
      <c r="D82" s="5" t="n">
        <v>1</v>
      </c>
      <c r="H82" s="32"/>
    </row>
    <row r="83" customFormat="false" ht="15.75" hidden="false" customHeight="true" outlineLevel="0" collapsed="false">
      <c r="A83" s="6"/>
      <c r="B83" s="7" t="s">
        <v>25</v>
      </c>
      <c r="C83" s="7" t="n">
        <v>1</v>
      </c>
      <c r="D83" s="5" t="n">
        <v>1</v>
      </c>
      <c r="H83" s="32"/>
    </row>
    <row r="84" customFormat="false" ht="15.75" hidden="false" customHeight="true" outlineLevel="0" collapsed="false">
      <c r="A84" s="6"/>
      <c r="B84" s="5" t="s">
        <v>28</v>
      </c>
      <c r="C84" s="5" t="n">
        <v>1</v>
      </c>
      <c r="D84" s="5" t="n">
        <v>1</v>
      </c>
      <c r="H84" s="32"/>
    </row>
    <row r="85" customFormat="false" ht="15.75" hidden="false" customHeight="true" outlineLevel="0" collapsed="false">
      <c r="A85" s="6"/>
      <c r="B85" s="5" t="s">
        <v>31</v>
      </c>
      <c r="C85" s="5" t="n">
        <v>1</v>
      </c>
      <c r="D85" s="5" t="n">
        <v>1</v>
      </c>
      <c r="H85" s="32"/>
    </row>
    <row r="86" customFormat="false" ht="15.75" hidden="false" customHeight="true" outlineLevel="0" collapsed="false">
      <c r="A86" s="6"/>
      <c r="B86" s="5" t="s">
        <v>33</v>
      </c>
      <c r="C86" s="5" t="n">
        <v>1</v>
      </c>
      <c r="D86" s="5" t="n">
        <v>1</v>
      </c>
      <c r="H86" s="32"/>
    </row>
    <row r="87" customFormat="false" ht="15.75" hidden="false" customHeight="true" outlineLevel="0" collapsed="false">
      <c r="A87" s="6"/>
      <c r="B87" s="5" t="s">
        <v>35</v>
      </c>
      <c r="C87" s="5" t="n">
        <v>1</v>
      </c>
      <c r="D87" s="5" t="n">
        <v>1</v>
      </c>
      <c r="H87" s="32"/>
    </row>
    <row r="88" customFormat="false" ht="15.75" hidden="false" customHeight="true" outlineLevel="0" collapsed="false">
      <c r="A88" s="6"/>
      <c r="B88" s="5" t="s">
        <v>37</v>
      </c>
      <c r="C88" s="5" t="n">
        <v>1</v>
      </c>
      <c r="D88" s="5" t="n">
        <v>1</v>
      </c>
      <c r="H88" s="32"/>
    </row>
    <row r="89" customFormat="false" ht="15.75" hidden="false" customHeight="true" outlineLevel="0" collapsed="false">
      <c r="A89" s="6"/>
      <c r="B89" s="5" t="s">
        <v>38</v>
      </c>
      <c r="C89" s="5" t="n">
        <v>1</v>
      </c>
      <c r="D89" s="5" t="n">
        <v>1</v>
      </c>
      <c r="H89" s="32"/>
    </row>
    <row r="90" customFormat="false" ht="15.75" hidden="false" customHeight="true" outlineLevel="0" collapsed="false">
      <c r="A90" s="6"/>
      <c r="B90" s="5" t="s">
        <v>39</v>
      </c>
      <c r="C90" s="5" t="n">
        <v>1</v>
      </c>
      <c r="D90" s="5" t="n">
        <v>1</v>
      </c>
      <c r="H90" s="32"/>
    </row>
    <row r="91" customFormat="false" ht="15.75" hidden="false" customHeight="true" outlineLevel="0" collapsed="false">
      <c r="A91" s="6"/>
      <c r="B91" s="33" t="s">
        <v>7</v>
      </c>
      <c r="C91" s="5" t="n">
        <v>1</v>
      </c>
      <c r="D91" s="5" t="n">
        <v>1</v>
      </c>
      <c r="H91" s="32"/>
    </row>
    <row r="92" customFormat="false" ht="15.75" hidden="false" customHeight="true" outlineLevel="0" collapsed="false">
      <c r="A92" s="6"/>
      <c r="B92" s="33" t="s">
        <v>10</v>
      </c>
      <c r="C92" s="5" t="n">
        <v>1</v>
      </c>
      <c r="D92" s="5" t="n">
        <v>1</v>
      </c>
      <c r="H92" s="32"/>
    </row>
    <row r="93" s="34" customFormat="true" ht="15.75" hidden="false" customHeight="true" outlineLevel="0" collapsed="false">
      <c r="A93" s="6"/>
      <c r="B93" s="33" t="s">
        <v>13</v>
      </c>
      <c r="C93" s="5" t="n">
        <v>1</v>
      </c>
      <c r="D93" s="5" t="n">
        <v>1</v>
      </c>
      <c r="H93" s="32"/>
    </row>
    <row r="94" s="34" customFormat="true" ht="15.75" hidden="false" customHeight="true" outlineLevel="0" collapsed="false">
      <c r="A94" s="6"/>
      <c r="B94" s="33" t="s">
        <v>17</v>
      </c>
      <c r="C94" s="5" t="n">
        <v>1</v>
      </c>
      <c r="D94" s="5" t="n">
        <v>1</v>
      </c>
      <c r="H94" s="32"/>
    </row>
    <row r="95" s="34" customFormat="true" ht="15.75" hidden="false" customHeight="true" outlineLevel="0" collapsed="false">
      <c r="A95" s="6"/>
      <c r="B95" s="33" t="s">
        <v>20</v>
      </c>
      <c r="C95" s="5" t="n">
        <v>1</v>
      </c>
      <c r="D95" s="5" t="n">
        <v>1</v>
      </c>
      <c r="H95" s="32"/>
    </row>
    <row r="96" s="34" customFormat="true" ht="15.75" hidden="false" customHeight="true" outlineLevel="0" collapsed="false">
      <c r="A96" s="6"/>
      <c r="B96" s="6" t="s">
        <v>23</v>
      </c>
      <c r="C96" s="5" t="n">
        <v>1</v>
      </c>
      <c r="D96" s="5" t="n">
        <v>1</v>
      </c>
      <c r="H96" s="32"/>
    </row>
    <row r="97" s="34" customFormat="true" ht="15.75" hidden="false" customHeight="true" outlineLevel="0" collapsed="false">
      <c r="A97" s="6"/>
      <c r="B97" s="5" t="s">
        <v>26</v>
      </c>
      <c r="C97" s="5" t="n">
        <v>1</v>
      </c>
      <c r="D97" s="5" t="n">
        <v>1</v>
      </c>
      <c r="H97" s="32"/>
    </row>
    <row r="98" s="34" customFormat="true" ht="15.75" hidden="false" customHeight="true" outlineLevel="0" collapsed="false">
      <c r="A98" s="6"/>
      <c r="B98" s="5" t="s">
        <v>29</v>
      </c>
      <c r="C98" s="5" t="n">
        <v>1</v>
      </c>
      <c r="D98" s="5" t="n">
        <v>1</v>
      </c>
      <c r="H98" s="32"/>
    </row>
    <row r="99" s="34" customFormat="true" ht="15.75" hidden="false" customHeight="true" outlineLevel="0" collapsed="false">
      <c r="A99" s="6"/>
      <c r="B99" s="7" t="s">
        <v>6</v>
      </c>
      <c r="C99" s="7" t="n">
        <v>1</v>
      </c>
      <c r="D99" s="5" t="n">
        <v>1</v>
      </c>
      <c r="H99" s="32"/>
    </row>
    <row r="100" s="34" customFormat="true" ht="15.75" hidden="false" customHeight="true" outlineLevel="0" collapsed="false">
      <c r="A100" s="6"/>
      <c r="B100" s="5" t="s">
        <v>34</v>
      </c>
      <c r="C100" s="5" t="n">
        <v>1</v>
      </c>
      <c r="D100" s="5" t="n">
        <v>1</v>
      </c>
      <c r="H100" s="32"/>
    </row>
    <row r="101" customFormat="false" ht="15.75" hidden="false" customHeight="true" outlineLevel="0" collapsed="false">
      <c r="A101" s="6"/>
      <c r="B101" s="14" t="s">
        <v>69</v>
      </c>
      <c r="C101" s="14" t="n">
        <f aca="false">SUM(C77:C100)</f>
        <v>26</v>
      </c>
      <c r="D101" s="14" t="n">
        <f aca="false">SUM(D77:D100)</f>
        <v>24</v>
      </c>
      <c r="H101" s="32"/>
    </row>
    <row r="102" customFormat="false" ht="15.75" hidden="false" customHeight="true" outlineLevel="0" collapsed="false">
      <c r="A102" s="6"/>
      <c r="H102" s="32"/>
    </row>
    <row r="103" customFormat="false" ht="15.75" hidden="false" customHeight="true" outlineLevel="0" collapsed="false">
      <c r="A103" s="6"/>
      <c r="H103" s="32"/>
    </row>
    <row r="104" customFormat="false" ht="15.75" hidden="false" customHeight="true" outlineLevel="0" collapsed="false">
      <c r="A104" s="1" t="s">
        <v>50</v>
      </c>
      <c r="B104" s="35" t="s">
        <v>70</v>
      </c>
      <c r="C104" s="35"/>
      <c r="D104" s="35"/>
      <c r="E104" s="35"/>
      <c r="F104" s="29" t="s">
        <v>61</v>
      </c>
      <c r="H104" s="32"/>
    </row>
    <row r="105" customFormat="false" ht="15.75" hidden="false" customHeight="true" outlineLevel="0" collapsed="false">
      <c r="A105" s="1"/>
      <c r="B105" s="35"/>
      <c r="C105" s="35"/>
      <c r="D105" s="35"/>
      <c r="E105" s="35"/>
      <c r="F105" s="29"/>
      <c r="H105" s="32"/>
    </row>
    <row r="106" customFormat="false" ht="15.75" hidden="false" customHeight="true" outlineLevel="0" collapsed="false">
      <c r="A106" s="18" t="s">
        <v>53</v>
      </c>
      <c r="B106" s="31" t="s">
        <v>71</v>
      </c>
      <c r="C106" s="31"/>
      <c r="D106" s="31"/>
      <c r="E106" s="31"/>
      <c r="F106" s="5" t="n">
        <f aca="false">16+24</f>
        <v>40</v>
      </c>
      <c r="G106" s="34"/>
      <c r="H106" s="32"/>
      <c r="I106" s="34"/>
    </row>
    <row r="107" customFormat="false" ht="15.75" hidden="false" customHeight="true" outlineLevel="0" collapsed="false">
      <c r="A107" s="19" t="s">
        <v>54</v>
      </c>
      <c r="B107" s="31" t="s">
        <v>72</v>
      </c>
      <c r="C107" s="31"/>
      <c r="D107" s="31"/>
      <c r="E107" s="31"/>
      <c r="F107" s="5" t="n">
        <f aca="false">10+24</f>
        <v>34</v>
      </c>
      <c r="G107" s="34"/>
      <c r="H107" s="32"/>
      <c r="I107" s="34"/>
    </row>
    <row r="108" customFormat="false" ht="15.75" hidden="false" customHeight="true" outlineLevel="0" collapsed="false">
      <c r="A108" s="6"/>
      <c r="H108" s="32"/>
    </row>
    <row r="109" customFormat="false" ht="15.75" hidden="false" customHeight="true" outlineLevel="0" collapsed="false">
      <c r="A109" s="6"/>
      <c r="H109" s="32"/>
    </row>
    <row r="110" customFormat="false" ht="15.75" hidden="false" customHeight="true" outlineLevel="0" collapsed="false">
      <c r="A110" s="1" t="s">
        <v>50</v>
      </c>
      <c r="B110" s="21" t="s">
        <v>51</v>
      </c>
      <c r="C110" s="21"/>
      <c r="D110" s="21"/>
      <c r="E110" s="22"/>
      <c r="H110" s="32"/>
    </row>
    <row r="111" customFormat="false" ht="15.75" hidden="false" customHeight="true" outlineLevel="0" collapsed="false">
      <c r="A111" s="1"/>
      <c r="B111" s="16" t="s">
        <v>6</v>
      </c>
      <c r="C111" s="16" t="s">
        <v>52</v>
      </c>
      <c r="D111" s="23" t="s">
        <v>37</v>
      </c>
      <c r="E111" s="24"/>
      <c r="H111" s="32"/>
    </row>
    <row r="112" customFormat="false" ht="15.75" hidden="false" customHeight="true" outlineLevel="0" collapsed="false">
      <c r="A112" s="18" t="s">
        <v>53</v>
      </c>
      <c r="B112" s="36" t="s">
        <v>73</v>
      </c>
      <c r="C112" s="36" t="s">
        <v>74</v>
      </c>
      <c r="D112" s="37" t="s">
        <v>73</v>
      </c>
      <c r="E112" s="6"/>
      <c r="H112" s="32"/>
    </row>
    <row r="113" customFormat="false" ht="15.75" hidden="false" customHeight="true" outlineLevel="0" collapsed="false">
      <c r="A113" s="19" t="s">
        <v>54</v>
      </c>
      <c r="B113" s="36" t="s">
        <v>73</v>
      </c>
      <c r="C113" s="36" t="s">
        <v>74</v>
      </c>
      <c r="D113" s="37" t="s">
        <v>74</v>
      </c>
      <c r="E113" s="6"/>
      <c r="H113" s="32"/>
    </row>
    <row r="114" customFormat="false" ht="15.75" hidden="false" customHeight="true" outlineLevel="0" collapsed="false">
      <c r="A114" s="6"/>
      <c r="H114" s="32"/>
    </row>
    <row r="115" customFormat="false" ht="15.75" hidden="false" customHeight="true" outlineLevel="0" collapsed="false">
      <c r="A115" s="6"/>
      <c r="H115" s="32"/>
    </row>
    <row r="116" customFormat="false" ht="15.75" hidden="false" customHeight="true" outlineLevel="0" collapsed="false">
      <c r="A116" s="1" t="s">
        <v>50</v>
      </c>
      <c r="B116" s="21" t="s">
        <v>55</v>
      </c>
      <c r="C116" s="21"/>
      <c r="D116" s="21"/>
      <c r="E116" s="22"/>
      <c r="H116" s="32"/>
    </row>
    <row r="117" customFormat="false" ht="15.75" hidden="false" customHeight="true" outlineLevel="0" collapsed="false">
      <c r="A117" s="1"/>
      <c r="B117" s="16" t="s">
        <v>6</v>
      </c>
      <c r="C117" s="16" t="s">
        <v>52</v>
      </c>
      <c r="D117" s="23" t="s">
        <v>37</v>
      </c>
      <c r="E117" s="24"/>
      <c r="H117" s="32"/>
    </row>
    <row r="118" customFormat="false" ht="15.75" hidden="false" customHeight="true" outlineLevel="0" collapsed="false">
      <c r="A118" s="18" t="s">
        <v>53</v>
      </c>
      <c r="B118" s="26" t="s">
        <v>75</v>
      </c>
      <c r="C118" s="26" t="s">
        <v>76</v>
      </c>
      <c r="D118" s="27" t="s">
        <v>75</v>
      </c>
      <c r="E118" s="28"/>
      <c r="H118" s="32"/>
    </row>
    <row r="119" customFormat="false" ht="15.75" hidden="false" customHeight="true" outlineLevel="0" collapsed="false">
      <c r="A119" s="19" t="s">
        <v>54</v>
      </c>
      <c r="B119" s="26" t="s">
        <v>77</v>
      </c>
      <c r="C119" s="26" t="s">
        <v>78</v>
      </c>
      <c r="D119" s="27" t="s">
        <v>78</v>
      </c>
      <c r="E119" s="28"/>
      <c r="H119" s="32"/>
    </row>
    <row r="120" customFormat="false" ht="15.75" hidden="false" customHeight="true" outlineLevel="0" collapsed="false">
      <c r="A120" s="6"/>
      <c r="H120" s="32"/>
    </row>
    <row r="121" customFormat="false" ht="15.75" hidden="false" customHeight="true" outlineLevel="0" collapsed="false">
      <c r="A121" s="6"/>
      <c r="H121" s="32"/>
    </row>
    <row r="122" customFormat="false" ht="15.75" hidden="false" customHeight="true" outlineLevel="0" collapsed="false">
      <c r="A122" s="6"/>
      <c r="H122" s="32"/>
    </row>
    <row r="123" customFormat="false" ht="15.75" hidden="false" customHeight="true" outlineLevel="0" collapsed="false">
      <c r="A123" s="1" t="s">
        <v>50</v>
      </c>
      <c r="B123" s="21" t="s">
        <v>55</v>
      </c>
      <c r="C123" s="21"/>
      <c r="D123" s="21"/>
      <c r="E123" s="22"/>
      <c r="H123" s="32"/>
    </row>
    <row r="124" customFormat="false" ht="15.75" hidden="false" customHeight="true" outlineLevel="0" collapsed="false">
      <c r="A124" s="1"/>
      <c r="B124" s="16" t="s">
        <v>6</v>
      </c>
      <c r="C124" s="16" t="s">
        <v>52</v>
      </c>
      <c r="D124" s="23" t="s">
        <v>37</v>
      </c>
      <c r="E124" s="24"/>
      <c r="H124" s="32"/>
    </row>
    <row r="125" customFormat="false" ht="15.75" hidden="false" customHeight="true" outlineLevel="0" collapsed="false">
      <c r="A125" s="18" t="s">
        <v>53</v>
      </c>
      <c r="B125" s="5" t="n">
        <f aca="false">2/40</f>
        <v>0.05</v>
      </c>
      <c r="C125" s="5" t="n">
        <f aca="false">1/40</f>
        <v>0.025</v>
      </c>
      <c r="D125" s="5" t="n">
        <f aca="false">2/40</f>
        <v>0.05</v>
      </c>
      <c r="E125" s="6"/>
      <c r="H125" s="32"/>
    </row>
    <row r="126" customFormat="false" ht="15.75" hidden="false" customHeight="true" outlineLevel="0" collapsed="false">
      <c r="A126" s="19" t="s">
        <v>54</v>
      </c>
      <c r="B126" s="5" t="n">
        <f aca="false">2/34</f>
        <v>0.0588235294117647</v>
      </c>
      <c r="C126" s="5" t="n">
        <f aca="false">1/34</f>
        <v>0.0294117647058823</v>
      </c>
      <c r="D126" s="25" t="n">
        <f aca="false">1/34</f>
        <v>0.0294117647058823</v>
      </c>
      <c r="E126" s="6"/>
      <c r="H126" s="32"/>
    </row>
    <row r="127" customFormat="false" ht="15.75" hidden="false" customHeight="true" outlineLevel="0" collapsed="false">
      <c r="A127" s="6"/>
      <c r="H127" s="32"/>
    </row>
    <row r="128" customFormat="false" ht="15.75" hidden="false" customHeight="true" outlineLevel="0" collapsed="false">
      <c r="A128" s="6"/>
      <c r="H128" s="32"/>
    </row>
    <row r="129" customFormat="false" ht="15.75" hidden="false" customHeight="true" outlineLevel="0" collapsed="false">
      <c r="A129" s="6"/>
      <c r="H129" s="32"/>
    </row>
    <row r="130" customFormat="false" ht="15.75" hidden="false" customHeight="true" outlineLevel="0" collapsed="false">
      <c r="A130" s="6"/>
      <c r="H130" s="32"/>
    </row>
    <row r="131" customFormat="false" ht="15.75" hidden="false" customHeight="true" outlineLevel="0" collapsed="false">
      <c r="A131" s="1" t="s">
        <v>50</v>
      </c>
      <c r="B131" s="21" t="s">
        <v>79</v>
      </c>
      <c r="C131" s="21"/>
      <c r="D131" s="21"/>
      <c r="E131" s="29" t="s">
        <v>61</v>
      </c>
      <c r="H131" s="32"/>
    </row>
    <row r="132" customFormat="false" ht="15.75" hidden="false" customHeight="true" outlineLevel="0" collapsed="false">
      <c r="A132" s="1"/>
      <c r="B132" s="16" t="s">
        <v>6</v>
      </c>
      <c r="C132" s="16" t="s">
        <v>52</v>
      </c>
      <c r="D132" s="23" t="s">
        <v>37</v>
      </c>
      <c r="E132" s="29"/>
      <c r="H132" s="32"/>
    </row>
    <row r="133" customFormat="false" ht="15.75" hidden="false" customHeight="true" outlineLevel="0" collapsed="false">
      <c r="A133" s="18" t="s">
        <v>53</v>
      </c>
      <c r="B133" s="5" t="n">
        <f aca="false">2/40</f>
        <v>0.05</v>
      </c>
      <c r="C133" s="5" t="n">
        <f aca="false">1/40</f>
        <v>0.025</v>
      </c>
      <c r="D133" s="5" t="n">
        <f aca="false">2/40</f>
        <v>0.05</v>
      </c>
      <c r="E133" s="5" t="n">
        <f aca="false">B133*C133*D133</f>
        <v>6.25E-005</v>
      </c>
      <c r="H133" s="32"/>
    </row>
    <row r="134" customFormat="false" ht="15.75" hidden="false" customHeight="true" outlineLevel="0" collapsed="false">
      <c r="A134" s="19" t="s">
        <v>54</v>
      </c>
      <c r="B134" s="5" t="n">
        <f aca="false">2/34</f>
        <v>0.0588235294117647</v>
      </c>
      <c r="C134" s="5" t="n">
        <f aca="false">1/34</f>
        <v>0.0294117647058823</v>
      </c>
      <c r="D134" s="25" t="n">
        <f aca="false">1/34</f>
        <v>0.0294117647058823</v>
      </c>
      <c r="E134" s="5" t="n">
        <f aca="false">B134*C134*D134</f>
        <v>5.08854060655404E-005</v>
      </c>
      <c r="H134" s="32"/>
    </row>
    <row r="135" customFormat="false" ht="15.75" hidden="false" customHeight="true" outlineLevel="0" collapsed="false">
      <c r="A135" s="6"/>
      <c r="H135" s="32"/>
    </row>
    <row r="136" customFormat="false" ht="15.75" hidden="false" customHeight="true" outlineLevel="0" collapsed="false">
      <c r="A136" s="6"/>
      <c r="H136" s="32"/>
    </row>
    <row r="137" customFormat="false" ht="15.75" hidden="false" customHeight="true" outlineLevel="0" collapsed="false">
      <c r="A137" s="6"/>
      <c r="H137" s="32"/>
    </row>
    <row r="138" customFormat="false" ht="15.75" hidden="false" customHeight="true" outlineLevel="0" collapsed="false">
      <c r="A138" s="30" t="s">
        <v>63</v>
      </c>
      <c r="B138" s="30"/>
      <c r="C138" s="30"/>
      <c r="D138" s="30"/>
      <c r="E138" s="30"/>
      <c r="F138" s="30"/>
      <c r="H138" s="32"/>
    </row>
    <row r="139" customFormat="false" ht="15.75" hidden="false" customHeight="true" outlineLevel="0" collapsed="false">
      <c r="A139" s="18" t="s">
        <v>53</v>
      </c>
      <c r="B139" s="5" t="s">
        <v>80</v>
      </c>
      <c r="C139" s="31" t="n">
        <f aca="false">E133*(6/10)</f>
        <v>3.75E-005</v>
      </c>
      <c r="D139" s="31"/>
      <c r="E139" s="31"/>
      <c r="F139" s="31"/>
      <c r="H139" s="32"/>
    </row>
    <row r="140" customFormat="false" ht="15.75" hidden="false" customHeight="true" outlineLevel="0" collapsed="false">
      <c r="A140" s="19" t="s">
        <v>54</v>
      </c>
      <c r="B140" s="5" t="s">
        <v>81</v>
      </c>
      <c r="C140" s="31" t="n">
        <f aca="false">E134*(4/10)</f>
        <v>2.03541624262162E-005</v>
      </c>
      <c r="D140" s="31"/>
      <c r="E140" s="31"/>
      <c r="F140" s="31"/>
      <c r="H140" s="32"/>
    </row>
    <row r="141" customFormat="false" ht="15.75" hidden="false" customHeight="true" outlineLevel="0" collapsed="false">
      <c r="A141" s="6"/>
      <c r="H141" s="32"/>
    </row>
    <row r="142" customFormat="false" ht="15.75" hidden="false" customHeight="true" outlineLevel="0" collapsed="false">
      <c r="A142" s="6"/>
      <c r="H142" s="32"/>
    </row>
    <row r="143" customFormat="false" ht="15.75" hidden="false" customHeight="true" outlineLevel="0" collapsed="false">
      <c r="A143" s="6"/>
      <c r="H143" s="32"/>
    </row>
    <row r="144" customFormat="false" ht="15.75" hidden="false" customHeight="true" outlineLevel="0" collapsed="false">
      <c r="A144" s="6"/>
      <c r="H144" s="32"/>
    </row>
    <row r="145" customFormat="false" ht="15.75" hidden="false" customHeight="true" outlineLevel="0" collapsed="false">
      <c r="A145" s="38"/>
      <c r="B145" s="39"/>
      <c r="C145" s="39"/>
      <c r="D145" s="39"/>
      <c r="E145" s="39"/>
      <c r="F145" s="39"/>
      <c r="G145" s="39"/>
      <c r="H145" s="40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39">
    <mergeCell ref="A4:A5"/>
    <mergeCell ref="B4:B5"/>
    <mergeCell ref="D4:E5"/>
    <mergeCell ref="G4:H5"/>
    <mergeCell ref="C30:E30"/>
    <mergeCell ref="A35:H36"/>
    <mergeCell ref="A38:A39"/>
    <mergeCell ref="B38:D38"/>
    <mergeCell ref="A45:A46"/>
    <mergeCell ref="B45:D45"/>
    <mergeCell ref="A52:A53"/>
    <mergeCell ref="B52:D52"/>
    <mergeCell ref="A59:A60"/>
    <mergeCell ref="B59:D60"/>
    <mergeCell ref="E59:E60"/>
    <mergeCell ref="A64:H65"/>
    <mergeCell ref="A67:F67"/>
    <mergeCell ref="C68:F68"/>
    <mergeCell ref="C69:F69"/>
    <mergeCell ref="A72:H73"/>
    <mergeCell ref="B75:C76"/>
    <mergeCell ref="D75:D76"/>
    <mergeCell ref="A104:A105"/>
    <mergeCell ref="B104:E105"/>
    <mergeCell ref="F104:F105"/>
    <mergeCell ref="B106:E106"/>
    <mergeCell ref="B107:E107"/>
    <mergeCell ref="A110:A111"/>
    <mergeCell ref="B110:D110"/>
    <mergeCell ref="A116:A117"/>
    <mergeCell ref="B116:D116"/>
    <mergeCell ref="A123:A124"/>
    <mergeCell ref="B123:D123"/>
    <mergeCell ref="A131:A132"/>
    <mergeCell ref="B131:D131"/>
    <mergeCell ref="E131:E132"/>
    <mergeCell ref="A138:F138"/>
    <mergeCell ref="C139:F139"/>
    <mergeCell ref="C140:F140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LibreOffice/6.2.2.2$Linux_X86_64 LibreOffice_project/5daaa0e719eb4f073b63de04e0910785ad81fe7a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2019-03-26T08:24:04Z</dcterms:created>
  <dc:creator>alputra</dc:creator>
  <dc:description/>
  <dc:language>en-US</dc:language>
  <cp:lastModifiedBy/>
  <dcterms:modified xsi:type="dcterms:W3CDTF">2019-04-15T12:54:11Z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KSOProductBuildVer">
    <vt:lpwstr>1033-10.1.0.6757</vt:lpwstr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