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uliah\cogcomp\minggu 4\"/>
    </mc:Choice>
  </mc:AlternateContent>
  <bookViews>
    <workbookView xWindow="0" yWindow="0" windowWidth="13980" windowHeight="7200" activeTab="1"/>
  </bookViews>
  <sheets>
    <sheet name="Perceptron" sheetId="1" r:id="rId1"/>
    <sheet name="Backpro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2" i="2" l="1"/>
  <c r="AQ2" i="2"/>
  <c r="AZ2" i="2"/>
  <c r="AP2" i="2"/>
  <c r="AO2" i="2"/>
  <c r="AP3" i="2"/>
  <c r="AU3" i="2"/>
  <c r="AZ3" i="2"/>
  <c r="AP4" i="2"/>
  <c r="AU4" i="2"/>
  <c r="AZ4" i="2"/>
  <c r="AP5" i="2"/>
  <c r="AU5" i="2"/>
  <c r="AZ5" i="2"/>
  <c r="D3" i="2"/>
  <c r="AL2" i="2"/>
  <c r="AN2" i="2"/>
  <c r="D4" i="2"/>
  <c r="AL3" i="2"/>
  <c r="AN3" i="2"/>
  <c r="AO3" i="2"/>
  <c r="AQ3" i="2"/>
  <c r="AV3" i="2"/>
  <c r="BA3" i="2"/>
  <c r="AL4" i="2"/>
  <c r="AN4" i="2"/>
  <c r="AO4" i="2"/>
  <c r="AR3" i="2"/>
  <c r="AW3" i="2"/>
  <c r="BB3" i="2"/>
  <c r="D6" i="2"/>
  <c r="AL5" i="2"/>
  <c r="AN5" i="2"/>
  <c r="AO5" i="2"/>
  <c r="AS3" i="2"/>
  <c r="AX3" i="2"/>
  <c r="BC3" i="2"/>
  <c r="AQ4" i="2"/>
  <c r="AV4" i="2"/>
  <c r="BA4" i="2"/>
  <c r="AR4" i="2"/>
  <c r="AW4" i="2"/>
  <c r="BB4" i="2"/>
  <c r="AS4" i="2"/>
  <c r="AX4" i="2"/>
  <c r="BC4" i="2"/>
  <c r="AQ5" i="2"/>
  <c r="AV5" i="2"/>
  <c r="BA5" i="2"/>
  <c r="AR5" i="2"/>
  <c r="AW5" i="2"/>
  <c r="BB5" i="2"/>
  <c r="AS5" i="2"/>
  <c r="AX5" i="2"/>
  <c r="BC5" i="2"/>
  <c r="AV2" i="2"/>
  <c r="AR2" i="2"/>
  <c r="AW2" i="2"/>
  <c r="BB2" i="2"/>
  <c r="AS2" i="2"/>
  <c r="AX2" i="2"/>
  <c r="BC2" i="2"/>
  <c r="AU2" i="2"/>
  <c r="AJ2" i="2"/>
  <c r="AK2" i="2"/>
  <c r="AM2" i="2"/>
  <c r="AJ3" i="2"/>
  <c r="AK3" i="2"/>
  <c r="AM3" i="2"/>
  <c r="AJ4" i="2"/>
  <c r="AK4" i="2"/>
  <c r="AM4" i="2"/>
  <c r="AJ5" i="2"/>
  <c r="AK5" i="2"/>
  <c r="AM5" i="2"/>
  <c r="D5" i="2"/>
  <c r="D6" i="1"/>
  <c r="D4" i="1"/>
  <c r="D5" i="1"/>
  <c r="D3" i="1"/>
  <c r="E22" i="1"/>
  <c r="I22" i="1"/>
  <c r="E23" i="1"/>
  <c r="E24" i="1"/>
  <c r="L24" i="1"/>
  <c r="E25" i="1"/>
  <c r="I25" i="1"/>
  <c r="E26" i="1"/>
  <c r="I26" i="1"/>
  <c r="E27" i="1"/>
  <c r="I27" i="1"/>
  <c r="E28" i="1"/>
  <c r="L28" i="1"/>
  <c r="E29" i="1"/>
  <c r="K29" i="1"/>
  <c r="E30" i="1"/>
  <c r="E31" i="1"/>
  <c r="I31" i="1"/>
  <c r="E32" i="1"/>
  <c r="L32" i="1"/>
  <c r="E33" i="1"/>
  <c r="J33" i="1"/>
  <c r="E34" i="1"/>
  <c r="E35" i="1"/>
  <c r="E36" i="1"/>
  <c r="L36" i="1"/>
  <c r="E37" i="1"/>
  <c r="K37" i="1"/>
  <c r="E38" i="1"/>
  <c r="I38" i="1"/>
  <c r="E39" i="1"/>
  <c r="E40" i="1"/>
  <c r="L40" i="1"/>
  <c r="E41" i="1"/>
  <c r="K41" i="1"/>
  <c r="E42" i="1"/>
  <c r="L42" i="1"/>
  <c r="E43" i="1"/>
  <c r="I43" i="1"/>
  <c r="E44" i="1"/>
  <c r="L44" i="1"/>
  <c r="E45" i="1"/>
  <c r="I45" i="1"/>
  <c r="E46" i="1"/>
  <c r="E47" i="1"/>
  <c r="I47" i="1"/>
  <c r="E48" i="1"/>
  <c r="L48" i="1"/>
  <c r="E49" i="1"/>
  <c r="I49" i="1"/>
  <c r="E50" i="1"/>
  <c r="E51" i="1"/>
  <c r="E52" i="1"/>
  <c r="L52" i="1"/>
  <c r="E53" i="1"/>
  <c r="I53" i="1"/>
  <c r="E54" i="1"/>
  <c r="I54" i="1"/>
  <c r="E55" i="1"/>
  <c r="E56" i="1"/>
  <c r="L56" i="1"/>
  <c r="E57" i="1"/>
  <c r="I57" i="1"/>
  <c r="E58" i="1"/>
  <c r="J58" i="1"/>
  <c r="E59" i="1"/>
  <c r="E60" i="1"/>
  <c r="I60" i="1"/>
  <c r="E61" i="1"/>
  <c r="I61" i="1"/>
  <c r="E62" i="1"/>
  <c r="L62" i="1"/>
  <c r="E63" i="1"/>
  <c r="I63" i="1"/>
  <c r="E64" i="1"/>
  <c r="E65" i="1"/>
  <c r="J65" i="1"/>
  <c r="E66" i="1"/>
  <c r="L66" i="1"/>
  <c r="E67" i="1"/>
  <c r="J67" i="1"/>
  <c r="E68" i="1"/>
  <c r="I68" i="1"/>
  <c r="E69" i="1"/>
  <c r="E70" i="1"/>
  <c r="L70" i="1"/>
  <c r="E71" i="1"/>
  <c r="J71" i="1"/>
  <c r="E72" i="1"/>
  <c r="I72" i="1"/>
  <c r="E73" i="1"/>
  <c r="I73" i="1"/>
  <c r="E74" i="1"/>
  <c r="L74" i="1"/>
  <c r="E75" i="1"/>
  <c r="I75" i="1"/>
  <c r="E76" i="1"/>
  <c r="E77" i="1"/>
  <c r="J77" i="1"/>
  <c r="E78" i="1"/>
  <c r="L78" i="1"/>
  <c r="E79" i="1"/>
  <c r="I79" i="1"/>
  <c r="E80" i="1"/>
  <c r="E81" i="1"/>
  <c r="E82" i="1"/>
  <c r="L82" i="1"/>
  <c r="E83" i="1"/>
  <c r="I83" i="1"/>
  <c r="E84" i="1"/>
  <c r="I84" i="1"/>
  <c r="E85" i="1"/>
  <c r="E86" i="1"/>
  <c r="L86" i="1"/>
  <c r="E87" i="1"/>
  <c r="I87" i="1"/>
  <c r="E88" i="1"/>
  <c r="E89" i="1"/>
  <c r="J89" i="1"/>
  <c r="E90" i="1"/>
  <c r="J90" i="1"/>
  <c r="E91" i="1"/>
  <c r="I91" i="1"/>
  <c r="E92" i="1"/>
  <c r="J92" i="1"/>
  <c r="E93" i="1"/>
  <c r="K93" i="1"/>
  <c r="E94" i="1"/>
  <c r="L94" i="1"/>
  <c r="E95" i="1"/>
  <c r="I95" i="1"/>
  <c r="E96" i="1"/>
  <c r="J96" i="1"/>
  <c r="E97" i="1"/>
  <c r="K97" i="1"/>
  <c r="E98" i="1"/>
  <c r="L98" i="1"/>
  <c r="E99" i="1"/>
  <c r="I99" i="1"/>
  <c r="E100" i="1"/>
  <c r="J100" i="1"/>
  <c r="E101" i="1"/>
  <c r="K101" i="1"/>
  <c r="E102" i="1"/>
  <c r="L102" i="1"/>
  <c r="E103" i="1"/>
  <c r="J103" i="1"/>
  <c r="E104" i="1"/>
  <c r="E105" i="1"/>
  <c r="J105" i="1"/>
  <c r="E106" i="1"/>
  <c r="J106" i="1"/>
  <c r="E107" i="1"/>
  <c r="E108" i="1"/>
  <c r="J108" i="1"/>
  <c r="E10" i="1"/>
  <c r="I10" i="1"/>
  <c r="E11" i="1"/>
  <c r="I11" i="1"/>
  <c r="E12" i="1"/>
  <c r="E13" i="1"/>
  <c r="E14" i="1"/>
  <c r="J14" i="1"/>
  <c r="E15" i="1"/>
  <c r="J15" i="1"/>
  <c r="E16" i="1"/>
  <c r="K16" i="1"/>
  <c r="E17" i="1"/>
  <c r="E18" i="1"/>
  <c r="J18" i="1"/>
  <c r="E19" i="1"/>
  <c r="J19" i="1"/>
  <c r="E20" i="1"/>
  <c r="K20" i="1"/>
  <c r="E21" i="1"/>
  <c r="E9" i="1"/>
  <c r="I9" i="1"/>
  <c r="K59" i="1"/>
  <c r="K104" i="1"/>
  <c r="K12" i="1"/>
  <c r="K21" i="1"/>
  <c r="K17" i="1"/>
  <c r="K13" i="1"/>
  <c r="K88" i="1"/>
  <c r="K107" i="1"/>
  <c r="L99" i="1"/>
  <c r="L83" i="1"/>
  <c r="J61" i="1"/>
  <c r="K83" i="1"/>
  <c r="J83" i="1"/>
  <c r="L41" i="1"/>
  <c r="L108" i="1"/>
  <c r="L59" i="1"/>
  <c r="J41" i="1"/>
  <c r="I58" i="1"/>
  <c r="I77" i="1"/>
  <c r="I70" i="1"/>
  <c r="I32" i="1"/>
  <c r="K99" i="1"/>
  <c r="I100" i="1"/>
  <c r="J99" i="1"/>
  <c r="J93" i="1"/>
  <c r="I66" i="1"/>
  <c r="L63" i="1"/>
  <c r="L49" i="1"/>
  <c r="I42" i="1"/>
  <c r="I41" i="1"/>
  <c r="I102" i="1"/>
  <c r="L75" i="1"/>
  <c r="K58" i="1"/>
  <c r="J59" i="1"/>
  <c r="J107" i="1"/>
  <c r="L95" i="1"/>
  <c r="K82" i="1"/>
  <c r="K74" i="1"/>
  <c r="I59" i="1"/>
  <c r="J40" i="1"/>
  <c r="I107" i="1"/>
  <c r="J82" i="1"/>
  <c r="J74" i="1"/>
  <c r="I40" i="1"/>
  <c r="L87" i="1"/>
  <c r="K86" i="1"/>
  <c r="K79" i="1"/>
  <c r="K78" i="1"/>
  <c r="K75" i="1"/>
  <c r="L67" i="1"/>
  <c r="K49" i="1"/>
  <c r="K48" i="1"/>
  <c r="J47" i="1"/>
  <c r="L37" i="1"/>
  <c r="J36" i="1"/>
  <c r="L29" i="1"/>
  <c r="K28" i="1"/>
  <c r="L107" i="1"/>
  <c r="I103" i="1"/>
  <c r="I101" i="1"/>
  <c r="L96" i="1"/>
  <c r="K94" i="1"/>
  <c r="K87" i="1"/>
  <c r="J86" i="1"/>
  <c r="J79" i="1"/>
  <c r="J78" i="1"/>
  <c r="J75" i="1"/>
  <c r="L71" i="1"/>
  <c r="I67" i="1"/>
  <c r="L60" i="1"/>
  <c r="L58" i="1"/>
  <c r="J49" i="1"/>
  <c r="J48" i="1"/>
  <c r="J37" i="1"/>
  <c r="I36" i="1"/>
  <c r="L33" i="1"/>
  <c r="J29" i="1"/>
  <c r="J28" i="1"/>
  <c r="L26" i="1"/>
  <c r="L79" i="1"/>
  <c r="J98" i="1"/>
  <c r="J87" i="1"/>
  <c r="I78" i="1"/>
  <c r="I71" i="1"/>
  <c r="L53" i="1"/>
  <c r="I48" i="1"/>
  <c r="I37" i="1"/>
  <c r="I33" i="1"/>
  <c r="I29" i="1"/>
  <c r="I28" i="1"/>
  <c r="L25" i="1"/>
  <c r="K91" i="1"/>
  <c r="K63" i="1"/>
  <c r="K62" i="1"/>
  <c r="K57" i="1"/>
  <c r="K56" i="1"/>
  <c r="K53" i="1"/>
  <c r="K52" i="1"/>
  <c r="K45" i="1"/>
  <c r="K44" i="1"/>
  <c r="K25" i="1"/>
  <c r="K24" i="1"/>
  <c r="L57" i="1"/>
  <c r="L45" i="1"/>
  <c r="L103" i="1"/>
  <c r="K103" i="1"/>
  <c r="K102" i="1"/>
  <c r="L101" i="1"/>
  <c r="L100" i="1"/>
  <c r="L97" i="1"/>
  <c r="K96" i="1"/>
  <c r="J95" i="1"/>
  <c r="L92" i="1"/>
  <c r="J91" i="1"/>
  <c r="I86" i="1"/>
  <c r="I82" i="1"/>
  <c r="I74" i="1"/>
  <c r="L72" i="1"/>
  <c r="K71" i="1"/>
  <c r="K70" i="1"/>
  <c r="K67" i="1"/>
  <c r="K66" i="1"/>
  <c r="J63" i="1"/>
  <c r="J62" i="1"/>
  <c r="J57" i="1"/>
  <c r="J56" i="1"/>
  <c r="J53" i="1"/>
  <c r="J52" i="1"/>
  <c r="J45" i="1"/>
  <c r="J44" i="1"/>
  <c r="K33" i="1"/>
  <c r="K32" i="1"/>
  <c r="J31" i="1"/>
  <c r="J25" i="1"/>
  <c r="J24" i="1"/>
  <c r="L91" i="1"/>
  <c r="K95" i="1"/>
  <c r="J102" i="1"/>
  <c r="J101" i="1"/>
  <c r="K100" i="1"/>
  <c r="K98" i="1"/>
  <c r="J97" i="1"/>
  <c r="L93" i="1"/>
  <c r="J70" i="1"/>
  <c r="J66" i="1"/>
  <c r="I62" i="1"/>
  <c r="I56" i="1"/>
  <c r="I52" i="1"/>
  <c r="I44" i="1"/>
  <c r="K40" i="1"/>
  <c r="K36" i="1"/>
  <c r="J32" i="1"/>
  <c r="I24" i="1"/>
  <c r="K105" i="1"/>
  <c r="L105" i="1"/>
  <c r="I105" i="1"/>
  <c r="K89" i="1"/>
  <c r="L89" i="1"/>
  <c r="I89" i="1"/>
  <c r="K81" i="1"/>
  <c r="L81" i="1"/>
  <c r="I81" i="1"/>
  <c r="J81" i="1"/>
  <c r="L106" i="1"/>
  <c r="K106" i="1"/>
  <c r="I106" i="1"/>
  <c r="J104" i="1"/>
  <c r="L104" i="1"/>
  <c r="I104" i="1"/>
  <c r="L90" i="1"/>
  <c r="K90" i="1"/>
  <c r="I90" i="1"/>
  <c r="J88" i="1"/>
  <c r="L88" i="1"/>
  <c r="I88" i="1"/>
  <c r="J76" i="1"/>
  <c r="K76" i="1"/>
  <c r="L76" i="1"/>
  <c r="I76" i="1"/>
  <c r="K85" i="1"/>
  <c r="L85" i="1"/>
  <c r="K51" i="1"/>
  <c r="L51" i="1"/>
  <c r="I51" i="1"/>
  <c r="J46" i="1"/>
  <c r="K46" i="1"/>
  <c r="I46" i="1"/>
  <c r="K35" i="1"/>
  <c r="L35" i="1"/>
  <c r="I35" i="1"/>
  <c r="J80" i="1"/>
  <c r="K80" i="1"/>
  <c r="J64" i="1"/>
  <c r="K64" i="1"/>
  <c r="K55" i="1"/>
  <c r="L55" i="1"/>
  <c r="I55" i="1"/>
  <c r="J55" i="1"/>
  <c r="K39" i="1"/>
  <c r="L39" i="1"/>
  <c r="I39" i="1"/>
  <c r="J39" i="1"/>
  <c r="J30" i="1"/>
  <c r="K30" i="1"/>
  <c r="I30" i="1"/>
  <c r="I108" i="1"/>
  <c r="K65" i="1"/>
  <c r="L65" i="1"/>
  <c r="K108" i="1"/>
  <c r="J94" i="1"/>
  <c r="K92" i="1"/>
  <c r="K69" i="1"/>
  <c r="L69" i="1"/>
  <c r="K23" i="1"/>
  <c r="L23" i="1"/>
  <c r="I23" i="1"/>
  <c r="J23" i="1"/>
  <c r="I94" i="1"/>
  <c r="I93" i="1"/>
  <c r="I92" i="1"/>
  <c r="J85" i="1"/>
  <c r="J84" i="1"/>
  <c r="K84" i="1"/>
  <c r="L80" i="1"/>
  <c r="K73" i="1"/>
  <c r="L73" i="1"/>
  <c r="J69" i="1"/>
  <c r="J68" i="1"/>
  <c r="K68" i="1"/>
  <c r="I65" i="1"/>
  <c r="L64" i="1"/>
  <c r="I98" i="1"/>
  <c r="I97" i="1"/>
  <c r="I96" i="1"/>
  <c r="I85" i="1"/>
  <c r="L84" i="1"/>
  <c r="I80" i="1"/>
  <c r="K77" i="1"/>
  <c r="L77" i="1"/>
  <c r="J73" i="1"/>
  <c r="J72" i="1"/>
  <c r="K72" i="1"/>
  <c r="I69" i="1"/>
  <c r="L68" i="1"/>
  <c r="I64" i="1"/>
  <c r="K61" i="1"/>
  <c r="L61" i="1"/>
  <c r="J60" i="1"/>
  <c r="K60" i="1"/>
  <c r="J51" i="1"/>
  <c r="J50" i="1"/>
  <c r="K50" i="1"/>
  <c r="I50" i="1"/>
  <c r="L50" i="1"/>
  <c r="L46" i="1"/>
  <c r="J35" i="1"/>
  <c r="J34" i="1"/>
  <c r="K34" i="1"/>
  <c r="I34" i="1"/>
  <c r="L34" i="1"/>
  <c r="L30" i="1"/>
  <c r="J54" i="1"/>
  <c r="K54" i="1"/>
  <c r="K43" i="1"/>
  <c r="L43" i="1"/>
  <c r="J38" i="1"/>
  <c r="K38" i="1"/>
  <c r="K27" i="1"/>
  <c r="L27" i="1"/>
  <c r="J22" i="1"/>
  <c r="K22" i="1"/>
  <c r="L54" i="1"/>
  <c r="K47" i="1"/>
  <c r="L47" i="1"/>
  <c r="J43" i="1"/>
  <c r="J42" i="1"/>
  <c r="K42" i="1"/>
  <c r="L38" i="1"/>
  <c r="K31" i="1"/>
  <c r="L31" i="1"/>
  <c r="J27" i="1"/>
  <c r="J26" i="1"/>
  <c r="K26" i="1"/>
  <c r="L22" i="1"/>
  <c r="I20" i="1"/>
  <c r="J16" i="1"/>
  <c r="L12" i="1"/>
  <c r="J17" i="1"/>
  <c r="J12" i="1"/>
  <c r="L20" i="1"/>
  <c r="I17" i="1"/>
  <c r="J13" i="1"/>
  <c r="I12" i="1"/>
  <c r="J21" i="1"/>
  <c r="I21" i="1"/>
  <c r="I16" i="1"/>
  <c r="J20" i="1"/>
  <c r="L16" i="1"/>
  <c r="I13" i="1"/>
  <c r="I19" i="1"/>
  <c r="I18" i="1"/>
  <c r="I15" i="1"/>
  <c r="I14" i="1"/>
  <c r="L21" i="1"/>
  <c r="L19" i="1"/>
  <c r="L18" i="1"/>
  <c r="L17" i="1"/>
  <c r="L15" i="1"/>
  <c r="L14" i="1"/>
  <c r="L13" i="1"/>
  <c r="L11" i="1"/>
  <c r="L10" i="1"/>
  <c r="K19" i="1"/>
  <c r="K18" i="1"/>
  <c r="K15" i="1"/>
  <c r="K14" i="1"/>
  <c r="K11" i="1"/>
  <c r="K10" i="1"/>
  <c r="J11" i="1"/>
  <c r="J10" i="1"/>
  <c r="L9" i="1"/>
  <c r="K9" i="1"/>
  <c r="J9" i="1"/>
  <c r="F9" i="1"/>
  <c r="G9" i="1"/>
  <c r="H9" i="1"/>
  <c r="C10" i="1"/>
  <c r="D10" i="1"/>
  <c r="B10" i="1"/>
  <c r="F10" i="1"/>
  <c r="G10" i="1"/>
  <c r="H10" i="1"/>
  <c r="D11" i="1"/>
  <c r="B11" i="1"/>
  <c r="C11" i="1"/>
  <c r="F11" i="1"/>
  <c r="G11" i="1"/>
  <c r="H11" i="1"/>
  <c r="C12" i="1"/>
  <c r="D12" i="1"/>
  <c r="B12" i="1"/>
  <c r="F12" i="1"/>
  <c r="G12" i="1"/>
  <c r="H12" i="1"/>
  <c r="C13" i="1"/>
  <c r="D13" i="1"/>
  <c r="B13" i="1"/>
  <c r="F13" i="1"/>
  <c r="G13" i="1"/>
  <c r="H13" i="1"/>
  <c r="C14" i="1"/>
  <c r="D14" i="1"/>
  <c r="B14" i="1"/>
  <c r="F14" i="1"/>
  <c r="G14" i="1"/>
  <c r="H14" i="1"/>
  <c r="C15" i="1"/>
  <c r="D15" i="1"/>
  <c r="B15" i="1"/>
  <c r="F15" i="1"/>
  <c r="G15" i="1"/>
  <c r="H15" i="1"/>
  <c r="D16" i="1"/>
  <c r="C16" i="1"/>
  <c r="B16" i="1"/>
  <c r="F16" i="1"/>
  <c r="G16" i="1"/>
  <c r="H16" i="1"/>
  <c r="C17" i="1"/>
  <c r="D17" i="1"/>
  <c r="B17" i="1"/>
  <c r="F17" i="1"/>
  <c r="G17" i="1"/>
  <c r="H17" i="1"/>
  <c r="C18" i="1"/>
  <c r="D18" i="1"/>
  <c r="B18" i="1"/>
  <c r="F18" i="1"/>
  <c r="G18" i="1"/>
  <c r="H18" i="1"/>
  <c r="B19" i="1"/>
  <c r="C19" i="1"/>
  <c r="D19" i="1"/>
  <c r="F19" i="1"/>
  <c r="G19" i="1"/>
  <c r="H19" i="1"/>
  <c r="B20" i="1"/>
  <c r="C20" i="1"/>
  <c r="D20" i="1"/>
  <c r="F20" i="1"/>
  <c r="G20" i="1"/>
  <c r="H20" i="1"/>
  <c r="B21" i="1"/>
  <c r="C21" i="1"/>
  <c r="D21" i="1"/>
  <c r="F21" i="1"/>
  <c r="G21" i="1"/>
  <c r="H21" i="1"/>
  <c r="B22" i="1"/>
  <c r="C22" i="1"/>
  <c r="D22" i="1"/>
  <c r="F22" i="1"/>
  <c r="G22" i="1"/>
  <c r="H22" i="1"/>
  <c r="B23" i="1"/>
  <c r="D23" i="1"/>
  <c r="C23" i="1"/>
  <c r="F23" i="1"/>
  <c r="G23" i="1"/>
  <c r="H23" i="1"/>
  <c r="B24" i="1"/>
  <c r="C24" i="1"/>
  <c r="D24" i="1"/>
  <c r="F24" i="1"/>
  <c r="G24" i="1"/>
  <c r="H24" i="1"/>
  <c r="C25" i="1"/>
  <c r="D25" i="1"/>
  <c r="B25" i="1"/>
  <c r="F25" i="1"/>
  <c r="G25" i="1"/>
  <c r="H25" i="1"/>
  <c r="C26" i="1"/>
  <c r="B26" i="1"/>
  <c r="D26" i="1"/>
  <c r="F26" i="1"/>
  <c r="G26" i="1"/>
  <c r="H26" i="1"/>
  <c r="C27" i="1"/>
  <c r="D27" i="1"/>
  <c r="B27" i="1"/>
  <c r="F27" i="1"/>
  <c r="G27" i="1"/>
  <c r="H27" i="1"/>
  <c r="D28" i="1"/>
  <c r="B28" i="1"/>
  <c r="C28" i="1"/>
  <c r="F28" i="1"/>
  <c r="G28" i="1"/>
  <c r="H28" i="1"/>
  <c r="B29" i="1"/>
  <c r="D29" i="1"/>
  <c r="C29" i="1"/>
  <c r="F29" i="1"/>
  <c r="G29" i="1"/>
  <c r="H29" i="1"/>
  <c r="B30" i="1"/>
  <c r="D30" i="1"/>
  <c r="C30" i="1"/>
  <c r="F30" i="1"/>
  <c r="G30" i="1"/>
  <c r="H30" i="1"/>
  <c r="B31" i="1"/>
  <c r="D31" i="1"/>
  <c r="C31" i="1"/>
  <c r="F31" i="1"/>
  <c r="G31" i="1"/>
  <c r="H31" i="1"/>
  <c r="B32" i="1"/>
  <c r="C32" i="1"/>
  <c r="D32" i="1"/>
  <c r="F32" i="1"/>
  <c r="G32" i="1"/>
  <c r="H32" i="1"/>
  <c r="B33" i="1"/>
  <c r="D33" i="1"/>
  <c r="C33" i="1"/>
  <c r="F33" i="1"/>
  <c r="G33" i="1"/>
  <c r="H33" i="1"/>
  <c r="B34" i="1"/>
  <c r="D34" i="1"/>
  <c r="C34" i="1"/>
  <c r="F34" i="1"/>
  <c r="G34" i="1"/>
  <c r="H34" i="1"/>
  <c r="B35" i="1"/>
  <c r="C35" i="1"/>
  <c r="D35" i="1"/>
  <c r="F35" i="1"/>
  <c r="G35" i="1"/>
  <c r="H35" i="1"/>
  <c r="C36" i="1"/>
  <c r="B36" i="1"/>
  <c r="D36" i="1"/>
  <c r="F36" i="1"/>
  <c r="G36" i="1"/>
  <c r="H36" i="1"/>
  <c r="D37" i="1"/>
  <c r="B37" i="1"/>
  <c r="C37" i="1"/>
  <c r="F37" i="1"/>
  <c r="G37" i="1"/>
  <c r="H37" i="1"/>
  <c r="D38" i="1"/>
  <c r="C38" i="1"/>
  <c r="B38" i="1"/>
  <c r="F38" i="1"/>
  <c r="G38" i="1"/>
  <c r="H38" i="1"/>
  <c r="B39" i="1"/>
  <c r="D39" i="1"/>
  <c r="C39" i="1"/>
  <c r="F39" i="1"/>
  <c r="G39" i="1"/>
  <c r="H39" i="1"/>
  <c r="B40" i="1"/>
  <c r="D40" i="1"/>
  <c r="C40" i="1"/>
  <c r="F40" i="1"/>
  <c r="G40" i="1"/>
  <c r="H40" i="1"/>
  <c r="B41" i="1"/>
  <c r="C41" i="1"/>
  <c r="D41" i="1"/>
  <c r="F41" i="1"/>
  <c r="G41" i="1"/>
  <c r="H41" i="1"/>
  <c r="B42" i="1"/>
  <c r="C42" i="1"/>
  <c r="D42" i="1"/>
  <c r="F42" i="1"/>
  <c r="G42" i="1"/>
  <c r="H42" i="1"/>
  <c r="D43" i="1"/>
  <c r="C43" i="1"/>
  <c r="B43" i="1"/>
  <c r="F43" i="1"/>
  <c r="G43" i="1"/>
  <c r="H43" i="1"/>
  <c r="D44" i="1"/>
  <c r="C44" i="1"/>
  <c r="B44" i="1"/>
  <c r="F44" i="1"/>
  <c r="G44" i="1"/>
  <c r="H44" i="1"/>
  <c r="D45" i="1"/>
  <c r="B45" i="1"/>
  <c r="C45" i="1"/>
  <c r="F45" i="1"/>
  <c r="G45" i="1"/>
  <c r="H45" i="1"/>
  <c r="D46" i="1"/>
  <c r="B46" i="1"/>
  <c r="C46" i="1"/>
  <c r="F46" i="1"/>
  <c r="G46" i="1"/>
  <c r="H46" i="1"/>
  <c r="D47" i="1"/>
  <c r="B47" i="1"/>
  <c r="C47" i="1"/>
  <c r="F47" i="1"/>
  <c r="G47" i="1"/>
  <c r="H47" i="1"/>
  <c r="D48" i="1"/>
  <c r="B48" i="1"/>
  <c r="C48" i="1"/>
  <c r="F48" i="1"/>
  <c r="G48" i="1"/>
  <c r="H48" i="1"/>
  <c r="D49" i="1"/>
  <c r="B49" i="1"/>
  <c r="C49" i="1"/>
  <c r="F49" i="1"/>
  <c r="G49" i="1"/>
  <c r="H49" i="1"/>
  <c r="D50" i="1"/>
  <c r="B50" i="1"/>
  <c r="C50" i="1"/>
  <c r="F50" i="1"/>
  <c r="G50" i="1"/>
  <c r="H50" i="1"/>
  <c r="D51" i="1"/>
  <c r="B51" i="1"/>
  <c r="C51" i="1"/>
  <c r="F51" i="1"/>
  <c r="G51" i="1"/>
  <c r="H51" i="1"/>
  <c r="D52" i="1"/>
  <c r="C52" i="1"/>
  <c r="B52" i="1"/>
  <c r="F52" i="1"/>
  <c r="G52" i="1"/>
  <c r="H52" i="1"/>
  <c r="D53" i="1"/>
  <c r="C53" i="1"/>
  <c r="B53" i="1"/>
  <c r="F53" i="1"/>
  <c r="G53" i="1"/>
  <c r="H53" i="1"/>
  <c r="C54" i="1"/>
  <c r="B54" i="1"/>
  <c r="D54" i="1"/>
  <c r="F54" i="1"/>
  <c r="G54" i="1"/>
  <c r="H54" i="1"/>
  <c r="C55" i="1"/>
  <c r="D55" i="1"/>
  <c r="B55" i="1"/>
  <c r="F55" i="1"/>
  <c r="G55" i="1"/>
  <c r="H55" i="1"/>
  <c r="D56" i="1"/>
  <c r="C56" i="1"/>
  <c r="B56" i="1"/>
  <c r="F56" i="1"/>
  <c r="G56" i="1"/>
  <c r="H56" i="1"/>
  <c r="D57" i="1"/>
  <c r="B57" i="1"/>
  <c r="C57" i="1"/>
  <c r="F57" i="1"/>
  <c r="G57" i="1"/>
  <c r="H57" i="1"/>
  <c r="D58" i="1"/>
  <c r="C58" i="1"/>
  <c r="B58" i="1"/>
  <c r="F58" i="1"/>
  <c r="G58" i="1"/>
  <c r="H58" i="1"/>
  <c r="D59" i="1"/>
  <c r="C59" i="1"/>
  <c r="B59" i="1"/>
  <c r="F59" i="1"/>
  <c r="G59" i="1"/>
  <c r="H59" i="1"/>
  <c r="D60" i="1"/>
  <c r="C60" i="1"/>
  <c r="B60" i="1"/>
  <c r="F60" i="1"/>
  <c r="G60" i="1"/>
  <c r="H60" i="1"/>
  <c r="D61" i="1"/>
  <c r="C61" i="1"/>
  <c r="B61" i="1"/>
  <c r="F61" i="1"/>
  <c r="G61" i="1"/>
  <c r="H61" i="1"/>
  <c r="D62" i="1"/>
  <c r="B62" i="1"/>
  <c r="C62" i="1"/>
  <c r="F62" i="1"/>
  <c r="G62" i="1"/>
  <c r="H62" i="1"/>
  <c r="D63" i="1"/>
  <c r="C63" i="1"/>
  <c r="B63" i="1"/>
  <c r="F63" i="1"/>
  <c r="G63" i="1"/>
  <c r="H63" i="1"/>
  <c r="D64" i="1"/>
  <c r="C64" i="1"/>
  <c r="B64" i="1"/>
  <c r="F64" i="1"/>
  <c r="G64" i="1"/>
  <c r="H64" i="1"/>
  <c r="D65" i="1"/>
  <c r="C65" i="1"/>
  <c r="B65" i="1"/>
  <c r="F65" i="1"/>
  <c r="G65" i="1"/>
  <c r="H65" i="1"/>
  <c r="D66" i="1"/>
  <c r="B66" i="1"/>
  <c r="C66" i="1"/>
  <c r="F66" i="1"/>
  <c r="G66" i="1"/>
  <c r="H66" i="1"/>
  <c r="D67" i="1"/>
  <c r="C67" i="1"/>
  <c r="B67" i="1"/>
  <c r="F67" i="1"/>
  <c r="G67" i="1"/>
  <c r="H67" i="1"/>
  <c r="D68" i="1"/>
  <c r="B68" i="1"/>
  <c r="C68" i="1"/>
  <c r="F68" i="1"/>
  <c r="G68" i="1"/>
  <c r="H68" i="1"/>
  <c r="D69" i="1"/>
  <c r="C69" i="1"/>
  <c r="B69" i="1"/>
  <c r="F69" i="1"/>
  <c r="G69" i="1"/>
  <c r="H69" i="1"/>
  <c r="C70" i="1"/>
  <c r="D70" i="1"/>
  <c r="B70" i="1"/>
  <c r="F70" i="1"/>
  <c r="G70" i="1"/>
  <c r="H70" i="1"/>
  <c r="C71" i="1"/>
  <c r="D71" i="1"/>
  <c r="B71" i="1"/>
  <c r="F71" i="1"/>
  <c r="G71" i="1"/>
  <c r="H71" i="1"/>
  <c r="C72" i="1"/>
  <c r="B72" i="1"/>
  <c r="D72" i="1"/>
  <c r="F72" i="1"/>
  <c r="G72" i="1"/>
  <c r="H72" i="1"/>
  <c r="C73" i="1"/>
  <c r="D73" i="1"/>
  <c r="B73" i="1"/>
  <c r="F73" i="1"/>
  <c r="G73" i="1"/>
  <c r="H73" i="1"/>
  <c r="C74" i="1"/>
  <c r="B74" i="1"/>
  <c r="D74" i="1"/>
  <c r="F74" i="1"/>
  <c r="G74" i="1"/>
  <c r="H74" i="1"/>
  <c r="C75" i="1"/>
  <c r="B75" i="1"/>
  <c r="D75" i="1"/>
  <c r="F75" i="1"/>
  <c r="G75" i="1"/>
  <c r="H75" i="1"/>
  <c r="C76" i="1"/>
  <c r="D76" i="1"/>
  <c r="B76" i="1"/>
  <c r="F76" i="1"/>
  <c r="G76" i="1"/>
  <c r="H76" i="1"/>
  <c r="C77" i="1"/>
  <c r="D77" i="1"/>
  <c r="B77" i="1"/>
  <c r="F77" i="1"/>
  <c r="G77" i="1"/>
  <c r="H77" i="1"/>
  <c r="C78" i="1"/>
  <c r="B78" i="1"/>
  <c r="D78" i="1"/>
  <c r="F78" i="1"/>
  <c r="G78" i="1"/>
  <c r="H78" i="1"/>
  <c r="C79" i="1"/>
  <c r="D79" i="1"/>
  <c r="B79" i="1"/>
  <c r="F79" i="1"/>
  <c r="G79" i="1"/>
  <c r="H79" i="1"/>
  <c r="C80" i="1"/>
  <c r="B80" i="1"/>
  <c r="D80" i="1"/>
  <c r="F80" i="1"/>
  <c r="G80" i="1"/>
  <c r="H80" i="1"/>
  <c r="C81" i="1"/>
  <c r="B81" i="1"/>
  <c r="D81" i="1"/>
  <c r="F81" i="1"/>
  <c r="G81" i="1"/>
  <c r="H81" i="1"/>
  <c r="C82" i="1"/>
  <c r="D82" i="1"/>
  <c r="B82" i="1"/>
  <c r="F82" i="1"/>
  <c r="G82" i="1"/>
  <c r="H82" i="1"/>
  <c r="C83" i="1"/>
  <c r="D83" i="1"/>
  <c r="B83" i="1"/>
  <c r="F83" i="1"/>
  <c r="G83" i="1"/>
  <c r="H83" i="1"/>
  <c r="C84" i="1"/>
  <c r="D84" i="1"/>
  <c r="B84" i="1"/>
  <c r="F84" i="1"/>
  <c r="G84" i="1"/>
  <c r="H84" i="1"/>
  <c r="C85" i="1"/>
  <c r="D85" i="1"/>
  <c r="B85" i="1"/>
  <c r="F85" i="1"/>
  <c r="G85" i="1"/>
  <c r="H85" i="1"/>
  <c r="C86" i="1"/>
  <c r="D86" i="1"/>
  <c r="B86" i="1"/>
  <c r="F86" i="1"/>
  <c r="G86" i="1"/>
  <c r="H86" i="1"/>
  <c r="D87" i="1"/>
  <c r="B87" i="1"/>
  <c r="C87" i="1"/>
  <c r="F87" i="1"/>
  <c r="G87" i="1"/>
  <c r="H87" i="1"/>
  <c r="B88" i="1"/>
  <c r="D88" i="1"/>
  <c r="C88" i="1"/>
  <c r="F88" i="1"/>
  <c r="G88" i="1"/>
  <c r="H88" i="1"/>
  <c r="B89" i="1"/>
  <c r="C89" i="1"/>
  <c r="D89" i="1"/>
  <c r="F89" i="1"/>
  <c r="G89" i="1"/>
  <c r="H89" i="1"/>
  <c r="B90" i="1"/>
  <c r="D90" i="1"/>
  <c r="C90" i="1"/>
  <c r="F90" i="1"/>
  <c r="G90" i="1"/>
  <c r="H90" i="1"/>
  <c r="B91" i="1"/>
  <c r="C91" i="1"/>
  <c r="D91" i="1"/>
  <c r="F91" i="1"/>
  <c r="G91" i="1"/>
  <c r="H91" i="1"/>
  <c r="B92" i="1"/>
  <c r="C92" i="1"/>
  <c r="D92" i="1"/>
  <c r="F92" i="1"/>
  <c r="G92" i="1"/>
  <c r="H92" i="1"/>
  <c r="B93" i="1"/>
  <c r="D93" i="1"/>
  <c r="C93" i="1"/>
  <c r="F93" i="1"/>
  <c r="G93" i="1"/>
  <c r="H93" i="1"/>
  <c r="B94" i="1"/>
  <c r="C94" i="1"/>
  <c r="D94" i="1"/>
  <c r="F94" i="1"/>
  <c r="G94" i="1"/>
  <c r="H94" i="1"/>
  <c r="B95" i="1"/>
  <c r="C95" i="1"/>
  <c r="D95" i="1"/>
  <c r="F95" i="1"/>
  <c r="G95" i="1"/>
  <c r="H95" i="1"/>
  <c r="B96" i="1"/>
  <c r="C96" i="1"/>
  <c r="D96" i="1"/>
  <c r="F96" i="1"/>
  <c r="G96" i="1"/>
  <c r="H96" i="1"/>
  <c r="B97" i="1"/>
  <c r="C97" i="1"/>
  <c r="D97" i="1"/>
  <c r="F97" i="1"/>
  <c r="G97" i="1"/>
  <c r="H97" i="1"/>
  <c r="B98" i="1"/>
  <c r="D98" i="1"/>
  <c r="C98" i="1"/>
  <c r="F98" i="1"/>
  <c r="G98" i="1"/>
  <c r="H98" i="1"/>
  <c r="B99" i="1"/>
  <c r="D99" i="1"/>
  <c r="C99" i="1"/>
  <c r="F99" i="1"/>
  <c r="G99" i="1"/>
  <c r="H99" i="1"/>
  <c r="B100" i="1"/>
  <c r="D100" i="1"/>
  <c r="C100" i="1"/>
  <c r="F100" i="1"/>
  <c r="G100" i="1"/>
  <c r="H100" i="1"/>
  <c r="B101" i="1"/>
  <c r="D101" i="1"/>
  <c r="C101" i="1"/>
  <c r="F101" i="1"/>
  <c r="G101" i="1"/>
  <c r="H101" i="1"/>
  <c r="B102" i="1"/>
  <c r="D102" i="1"/>
  <c r="C102" i="1"/>
  <c r="F102" i="1"/>
  <c r="G102" i="1"/>
  <c r="H102" i="1"/>
  <c r="B103" i="1"/>
  <c r="D103" i="1"/>
  <c r="C103" i="1"/>
  <c r="F103" i="1"/>
  <c r="G103" i="1"/>
  <c r="H103" i="1"/>
  <c r="B104" i="1"/>
  <c r="D104" i="1"/>
  <c r="C104" i="1"/>
  <c r="F104" i="1"/>
  <c r="G104" i="1"/>
  <c r="H104" i="1"/>
  <c r="B105" i="1"/>
  <c r="D105" i="1"/>
  <c r="C105" i="1"/>
  <c r="F105" i="1"/>
  <c r="G105" i="1"/>
  <c r="H105" i="1"/>
  <c r="B106" i="1"/>
  <c r="D106" i="1"/>
  <c r="C106" i="1"/>
  <c r="F106" i="1"/>
  <c r="G106" i="1"/>
  <c r="H106" i="1"/>
  <c r="B107" i="1"/>
  <c r="D107" i="1"/>
  <c r="C107" i="1"/>
  <c r="F107" i="1"/>
  <c r="G107" i="1"/>
  <c r="H107" i="1"/>
  <c r="B108" i="1"/>
  <c r="D108" i="1"/>
  <c r="C108" i="1"/>
  <c r="F108" i="1"/>
  <c r="G108" i="1"/>
  <c r="H108" i="1"/>
</calcChain>
</file>

<file path=xl/sharedStrings.xml><?xml version="1.0" encoding="utf-8"?>
<sst xmlns="http://schemas.openxmlformats.org/spreadsheetml/2006/main" count="82" uniqueCount="66">
  <si>
    <t>learning rule</t>
  </si>
  <si>
    <t>X1</t>
  </si>
  <si>
    <t>X2</t>
  </si>
  <si>
    <t>B</t>
  </si>
  <si>
    <t>Y</t>
  </si>
  <si>
    <t>W1</t>
  </si>
  <si>
    <t>W2</t>
  </si>
  <si>
    <t>W3</t>
  </si>
  <si>
    <t>i</t>
  </si>
  <si>
    <t>dot product</t>
  </si>
  <si>
    <t>input</t>
  </si>
  <si>
    <t>error</t>
  </si>
  <si>
    <t>fungsi aktivasi</t>
  </si>
  <si>
    <t>pilih input</t>
  </si>
  <si>
    <t>pilihan input</t>
  </si>
  <si>
    <t>Bias</t>
  </si>
  <si>
    <t>W11</t>
  </si>
  <si>
    <t>W12</t>
  </si>
  <si>
    <t>W13</t>
  </si>
  <si>
    <t>W14</t>
  </si>
  <si>
    <t>W21</t>
  </si>
  <si>
    <t>W22</t>
  </si>
  <si>
    <t>W23</t>
  </si>
  <si>
    <t>W24</t>
  </si>
  <si>
    <t>W31</t>
  </si>
  <si>
    <t>W32</t>
  </si>
  <si>
    <t>W33</t>
  </si>
  <si>
    <t>W34</t>
  </si>
  <si>
    <t>O1</t>
  </si>
  <si>
    <t>O2</t>
  </si>
  <si>
    <t>O3</t>
  </si>
  <si>
    <t>O4</t>
  </si>
  <si>
    <t>L11 dot product</t>
  </si>
  <si>
    <t>L12 dot product</t>
  </si>
  <si>
    <t>L13 dot product</t>
  </si>
  <si>
    <t>L14 dot product</t>
  </si>
  <si>
    <t>L21 dot product</t>
  </si>
  <si>
    <t>L22 dot product</t>
  </si>
  <si>
    <t>L23 dot product</t>
  </si>
  <si>
    <t>L24 dot product</t>
  </si>
  <si>
    <t>L31 dot product</t>
  </si>
  <si>
    <t>L32 dot product</t>
  </si>
  <si>
    <t>L33 dot product</t>
  </si>
  <si>
    <t>L34 dot product</t>
  </si>
  <si>
    <t>L41 dot product</t>
  </si>
  <si>
    <t>L42 dot product</t>
  </si>
  <si>
    <t>L43 dot product</t>
  </si>
  <si>
    <t>L44 dot product</t>
  </si>
  <si>
    <t>dW21</t>
  </si>
  <si>
    <t>dW22</t>
  </si>
  <si>
    <t>dW23</t>
  </si>
  <si>
    <t>dW24</t>
  </si>
  <si>
    <t>2xy-o</t>
  </si>
  <si>
    <t>sderivlayer1</t>
  </si>
  <si>
    <t>sderivoutput</t>
  </si>
  <si>
    <t>sderivlayer2</t>
  </si>
  <si>
    <t>sderivlayer3</t>
  </si>
  <si>
    <t>sderivlayer4</t>
  </si>
  <si>
    <t>dW11</t>
  </si>
  <si>
    <t>dW12</t>
  </si>
  <si>
    <t>dW13</t>
  </si>
  <si>
    <t>dW14</t>
  </si>
  <si>
    <t>dW31</t>
  </si>
  <si>
    <t>dW32</t>
  </si>
  <si>
    <t>dW33</t>
  </si>
  <si>
    <t>dW34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</si>
</sst>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164" fontId="0" fillId="3" borderId="0" xfId="0" applyNumberFormat="1" applyFill="1"/>
    <xf numFmtId="0" fontId="0" fillId="4" borderId="0" xfId="0" applyFill="1"/>
    <xf numFmtId="164" fontId="0" fillId="5" borderId="0" xfId="0" applyNumberFormat="1" applyFill="1"/>
    <xf numFmtId="0" fontId="0" fillId="5" borderId="0" xfId="0" applyFill="1"/>
    <xf numFmtId="0" fontId="0" fillId="3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Perceptron!$H$8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Perceptron!$H$9:$H$108</c:f>
              <c:numCache>
                <c:formatCode>General</c:formatCode>
                <c:ptCount val="10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-1</c:v>
                </c:pt>
                <c:pt idx="15">
                  <c:v>-1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-1</c:v>
                </c:pt>
                <c:pt idx="20">
                  <c:v>1</c:v>
                </c:pt>
                <c:pt idx="21">
                  <c:v>-1</c:v>
                </c:pt>
                <c:pt idx="22">
                  <c:v>1</c:v>
                </c:pt>
                <c:pt idx="23">
                  <c:v>0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0</c:v>
                </c:pt>
                <c:pt idx="29">
                  <c:v>-1</c:v>
                </c:pt>
                <c:pt idx="30">
                  <c:v>0</c:v>
                </c:pt>
                <c:pt idx="31">
                  <c:v>-1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-1</c:v>
                </c:pt>
                <c:pt idx="36">
                  <c:v>-1</c:v>
                </c:pt>
                <c:pt idx="37">
                  <c:v>0</c:v>
                </c:pt>
                <c:pt idx="38">
                  <c:v>1</c:v>
                </c:pt>
                <c:pt idx="39">
                  <c:v>-1</c:v>
                </c:pt>
                <c:pt idx="40">
                  <c:v>1</c:v>
                </c:pt>
                <c:pt idx="41">
                  <c:v>-1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-1</c:v>
                </c:pt>
                <c:pt idx="50">
                  <c:v>-1</c:v>
                </c:pt>
                <c:pt idx="51">
                  <c:v>1</c:v>
                </c:pt>
                <c:pt idx="52">
                  <c:v>-1</c:v>
                </c:pt>
                <c:pt idx="53">
                  <c:v>-1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-1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-1</c:v>
                </c:pt>
                <c:pt idx="64">
                  <c:v>-1</c:v>
                </c:pt>
                <c:pt idx="65">
                  <c:v>0</c:v>
                </c:pt>
                <c:pt idx="66">
                  <c:v>1</c:v>
                </c:pt>
                <c:pt idx="67">
                  <c:v>-1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-1</c:v>
                </c:pt>
                <c:pt idx="72">
                  <c:v>-1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-1</c:v>
                </c:pt>
                <c:pt idx="88">
                  <c:v>-1</c:v>
                </c:pt>
                <c:pt idx="89">
                  <c:v>1</c:v>
                </c:pt>
                <c:pt idx="90">
                  <c:v>1</c:v>
                </c:pt>
                <c:pt idx="91">
                  <c:v>-1</c:v>
                </c:pt>
                <c:pt idx="92">
                  <c:v>-1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43B-4DD6-A75A-D3346DD2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962032"/>
        <c:axId val="912967856"/>
      </c:lineChart>
      <c:catAx>
        <c:axId val="9129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67856"/>
        <c:crosses val="autoZero"/>
        <c:auto val="1"/>
        <c:lblAlgn val="ctr"/>
        <c:lblOffset val="100"/>
        <c:noMultiLvlLbl val="0"/>
      </c:catAx>
      <c:valAx>
        <c:axId val="9129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379252</xdr:colOff>
      <xdr:row>1</xdr:row>
      <xdr:rowOff>26565</xdr:rowOff>
    </xdr:from>
    <xdr:to>
      <xdr:col>18</xdr:col>
      <xdr:colOff>57674</xdr:colOff>
      <xdr:row>15</xdr:row>
      <xdr:rowOff>78297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479739</xdr:colOff>
      <xdr:row>1</xdr:row>
      <xdr:rowOff>91876</xdr:rowOff>
    </xdr:from>
    <xdr:to>
      <xdr:col>61</xdr:col>
      <xdr:colOff>364461</xdr:colOff>
      <xdr:row>24</xdr:row>
      <xdr:rowOff>91877</xdr:rowOff>
    </xdr:to>
    <xdr:pic>
      <xdr:nvPicPr>
        <xdr:cNvPr id="3" name="Picture 2" descr="https://cdn-images-1.medium.com/max/1600/1*sX6T0Y4aa3ARh7IBS_sdqw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3072" y="288424"/>
          <a:ext cx="4722818" cy="4520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zoomScale="65" workbookViewId="0">
      <selection activeCell="H5" sqref="H5"/>
    </sheetView>
  </sheetViews>
  <sheetFormatPr defaultRowHeight="15" x14ac:dyDescent="0.25"/>
  <cols>
    <col min="1" max="1" width="6.5703125" customWidth="1"/>
    <col min="2" max="2" width="10.28515625" customWidth="1"/>
    <col min="3" max="4" width="12.140625" customWidth="1"/>
    <col min="8" max="8" width="9.140625" style="2"/>
  </cols>
  <sheetData>
    <row r="1" spans="1:12" x14ac:dyDescent="0.25">
      <c r="A1" t="s">
        <v>0</v>
      </c>
      <c r="B1">
        <v>0.2</v>
      </c>
      <c r="D1" t="s">
        <v>15</v>
      </c>
      <c r="E1">
        <v>1</v>
      </c>
    </row>
    <row r="2" spans="1:12" x14ac:dyDescent="0.25">
      <c r="A2" t="s">
        <v>10</v>
      </c>
      <c r="B2" t="s">
        <v>1</v>
      </c>
      <c r="C2" t="s">
        <v>2</v>
      </c>
      <c r="D2" t="s">
        <v>3</v>
      </c>
      <c r="E2" t="s">
        <v>4</v>
      </c>
    </row>
    <row r="3" spans="1:12" x14ac:dyDescent="0.25">
      <c r="A3">
        <v>2</v>
      </c>
      <c r="B3">
        <v>0</v>
      </c>
      <c r="C3">
        <v>0</v>
      </c>
      <c r="D3">
        <f>E1</f>
        <v>1</v>
      </c>
      <c r="E3">
        <v>0</v>
      </c>
    </row>
    <row r="4" spans="1:12" x14ac:dyDescent="0.25">
      <c r="A4">
        <v>3</v>
      </c>
      <c r="B4">
        <v>0</v>
      </c>
      <c r="C4">
        <v>1</v>
      </c>
      <c r="D4">
        <f>E1</f>
        <v>1</v>
      </c>
      <c r="E4">
        <v>1</v>
      </c>
    </row>
    <row r="5" spans="1:12" x14ac:dyDescent="0.25">
      <c r="A5">
        <v>4</v>
      </c>
      <c r="B5">
        <v>1</v>
      </c>
      <c r="C5">
        <v>0</v>
      </c>
      <c r="D5">
        <f>E1</f>
        <v>1</v>
      </c>
      <c r="E5">
        <v>1</v>
      </c>
    </row>
    <row r="6" spans="1:12" x14ac:dyDescent="0.25">
      <c r="A6">
        <v>5</v>
      </c>
      <c r="B6">
        <v>1</v>
      </c>
      <c r="C6">
        <v>1</v>
      </c>
      <c r="D6">
        <f>E1</f>
        <v>1</v>
      </c>
      <c r="E6">
        <v>0</v>
      </c>
    </row>
    <row r="8" spans="1:12" x14ac:dyDescent="0.25">
      <c r="A8" t="s">
        <v>8</v>
      </c>
      <c r="B8" t="s">
        <v>5</v>
      </c>
      <c r="C8" t="s">
        <v>6</v>
      </c>
      <c r="D8" t="s">
        <v>7</v>
      </c>
      <c r="E8" t="s">
        <v>13</v>
      </c>
      <c r="F8" t="s">
        <v>9</v>
      </c>
      <c r="G8" t="s">
        <v>12</v>
      </c>
      <c r="H8" s="2" t="s">
        <v>11</v>
      </c>
      <c r="I8" t="s">
        <v>14</v>
      </c>
    </row>
    <row r="9" spans="1:12" x14ac:dyDescent="0.25">
      <c r="A9">
        <v>1</v>
      </c>
      <c r="B9" s="1">
        <v>-0.52435236399999996</v>
      </c>
      <c r="C9" s="1">
        <v>-0.68903454389999996</v>
      </c>
      <c r="D9" s="1">
        <v>-0.72376412332399997</v>
      </c>
      <c r="E9">
        <f ca="1">RANDBETWEEN(2,5)</f>
        <v>4</v>
      </c>
      <c r="F9">
        <f ca="1">(B9*I9)+(C9*J9)+(D9*K9)</f>
        <v>-1.2481164873239998</v>
      </c>
      <c r="G9">
        <f t="shared" ref="G9:G21" ca="1" si="0">IF($F9&lt;=0,0,1)</f>
        <v>0</v>
      </c>
      <c r="H9" s="2">
        <f ca="1">L9-G9</f>
        <v>1</v>
      </c>
      <c r="I9">
        <f ca="1">VLOOKUP(E9,$A$3:$E$6,2,FALSE)</f>
        <v>1</v>
      </c>
      <c r="J9">
        <f ca="1">VLOOKUP(E9,$A$3:$E$6,3,FALSE)</f>
        <v>0</v>
      </c>
      <c r="K9">
        <f ca="1">VLOOKUP(E9,$A$3:$E$6,4,FALSE)</f>
        <v>1</v>
      </c>
      <c r="L9">
        <f ca="1">VLOOKUP(E9,$A$3:$E$6,5,FALSE)</f>
        <v>1</v>
      </c>
    </row>
    <row r="10" spans="1:12" x14ac:dyDescent="0.25">
      <c r="A10">
        <v>2</v>
      </c>
      <c r="B10" s="1">
        <f ca="1">B9+($B$1*$H9*$I9)</f>
        <v>-0.32435236399999995</v>
      </c>
      <c r="C10" s="1">
        <f ca="1">C9+($B$1*$H9*$J9)</f>
        <v>-0.68903454389999996</v>
      </c>
      <c r="D10" s="1">
        <f ca="1">D9+($B$1*$H9*$K9)</f>
        <v>-0.52376412332400002</v>
      </c>
      <c r="E10">
        <f t="shared" ref="E10:E73" ca="1" si="1">RANDBETWEEN(2,5)</f>
        <v>5</v>
      </c>
      <c r="F10">
        <f t="shared" ref="F10:F21" ca="1" si="2">(B10*I10)+(C10*J10)+(D10*K10)</f>
        <v>-1.537151031224</v>
      </c>
      <c r="G10">
        <f t="shared" ca="1" si="0"/>
        <v>0</v>
      </c>
      <c r="H10" s="2">
        <f t="shared" ref="H10:H21" ca="1" si="3">L10-G10</f>
        <v>0</v>
      </c>
      <c r="I10">
        <f t="shared" ref="I10:I21" ca="1" si="4">VLOOKUP(E10,$A$3:$E$6,2,FALSE)</f>
        <v>1</v>
      </c>
      <c r="J10">
        <f t="shared" ref="J10:J21" ca="1" si="5">VLOOKUP(E10,$A$3:$E$6,3,FALSE)</f>
        <v>1</v>
      </c>
      <c r="K10">
        <f t="shared" ref="K10:K21" ca="1" si="6">VLOOKUP(E10,$A$3:$E$6,4,FALSE)</f>
        <v>1</v>
      </c>
      <c r="L10">
        <f t="shared" ref="L10:L21" ca="1" si="7">VLOOKUP(E10,$A$3:$E$6,5,FALSE)</f>
        <v>0</v>
      </c>
    </row>
    <row r="11" spans="1:12" x14ac:dyDescent="0.25">
      <c r="A11">
        <v>3</v>
      </c>
      <c r="B11" s="1">
        <f t="shared" ref="B11:B74" ca="1" si="8">B10+($B$1*$H10*$I10)</f>
        <v>-0.32435236399999995</v>
      </c>
      <c r="C11" s="1">
        <f t="shared" ref="C11:C74" ca="1" si="9">C10+($B$1*$H10*$J10)</f>
        <v>-0.68903454389999996</v>
      </c>
      <c r="D11" s="1">
        <f t="shared" ref="D11:D74" ca="1" si="10">D10+($B$1*$H10*$K10)</f>
        <v>-0.52376412332400002</v>
      </c>
      <c r="E11">
        <f t="shared" ca="1" si="1"/>
        <v>4</v>
      </c>
      <c r="F11">
        <f t="shared" ca="1" si="2"/>
        <v>-0.84811648732399991</v>
      </c>
      <c r="G11">
        <f t="shared" ca="1" si="0"/>
        <v>0</v>
      </c>
      <c r="H11" s="2">
        <f t="shared" ca="1" si="3"/>
        <v>1</v>
      </c>
      <c r="I11">
        <f t="shared" ca="1" si="4"/>
        <v>1</v>
      </c>
      <c r="J11">
        <f t="shared" ca="1" si="5"/>
        <v>0</v>
      </c>
      <c r="K11">
        <f t="shared" ca="1" si="6"/>
        <v>1</v>
      </c>
      <c r="L11">
        <f t="shared" ca="1" si="7"/>
        <v>1</v>
      </c>
    </row>
    <row r="12" spans="1:12" x14ac:dyDescent="0.25">
      <c r="A12">
        <v>4</v>
      </c>
      <c r="B12" s="1">
        <f t="shared" ca="1" si="8"/>
        <v>-0.12435236399999994</v>
      </c>
      <c r="C12" s="1">
        <f t="shared" ca="1" si="9"/>
        <v>-0.68903454389999996</v>
      </c>
      <c r="D12" s="1">
        <f t="shared" ca="1" si="10"/>
        <v>-0.32376412332400001</v>
      </c>
      <c r="E12">
        <f t="shared" ca="1" si="1"/>
        <v>3</v>
      </c>
      <c r="F12">
        <f t="shared" ca="1" si="2"/>
        <v>-1.0127986672239999</v>
      </c>
      <c r="G12">
        <f t="shared" ca="1" si="0"/>
        <v>0</v>
      </c>
      <c r="H12" s="2">
        <f t="shared" ca="1" si="3"/>
        <v>1</v>
      </c>
      <c r="I12">
        <f t="shared" ca="1" si="4"/>
        <v>0</v>
      </c>
      <c r="J12">
        <f t="shared" ca="1" si="5"/>
        <v>1</v>
      </c>
      <c r="K12">
        <f t="shared" ca="1" si="6"/>
        <v>1</v>
      </c>
      <c r="L12">
        <f t="shared" ca="1" si="7"/>
        <v>1</v>
      </c>
    </row>
    <row r="13" spans="1:12" x14ac:dyDescent="0.25">
      <c r="A13">
        <v>5</v>
      </c>
      <c r="B13" s="1">
        <f t="shared" ca="1" si="8"/>
        <v>-0.12435236399999994</v>
      </c>
      <c r="C13" s="1">
        <f t="shared" ca="1" si="9"/>
        <v>-0.48903454389999995</v>
      </c>
      <c r="D13" s="1">
        <f t="shared" ca="1" si="10"/>
        <v>-0.123764123324</v>
      </c>
      <c r="E13">
        <f t="shared" ca="1" si="1"/>
        <v>4</v>
      </c>
      <c r="F13">
        <f t="shared" ca="1" si="2"/>
        <v>-0.24811648732399993</v>
      </c>
      <c r="G13">
        <f t="shared" ca="1" si="0"/>
        <v>0</v>
      </c>
      <c r="H13" s="2">
        <f t="shared" ca="1" si="3"/>
        <v>1</v>
      </c>
      <c r="I13">
        <f t="shared" ca="1" si="4"/>
        <v>1</v>
      </c>
      <c r="J13">
        <f t="shared" ca="1" si="5"/>
        <v>0</v>
      </c>
      <c r="K13">
        <f t="shared" ca="1" si="6"/>
        <v>1</v>
      </c>
      <c r="L13">
        <f t="shared" ca="1" si="7"/>
        <v>1</v>
      </c>
    </row>
    <row r="14" spans="1:12" x14ac:dyDescent="0.25">
      <c r="A14">
        <v>6</v>
      </c>
      <c r="B14" s="1">
        <f t="shared" ca="1" si="8"/>
        <v>7.5647636000000074E-2</v>
      </c>
      <c r="C14" s="1">
        <f t="shared" ca="1" si="9"/>
        <v>-0.48903454389999995</v>
      </c>
      <c r="D14" s="1">
        <f t="shared" ca="1" si="10"/>
        <v>7.6235876676000014E-2</v>
      </c>
      <c r="E14">
        <f t="shared" ca="1" si="1"/>
        <v>3</v>
      </c>
      <c r="F14">
        <f t="shared" ca="1" si="2"/>
        <v>-0.41279866722399994</v>
      </c>
      <c r="G14">
        <f t="shared" ca="1" si="0"/>
        <v>0</v>
      </c>
      <c r="H14" s="2">
        <f t="shared" ca="1" si="3"/>
        <v>1</v>
      </c>
      <c r="I14">
        <f t="shared" ca="1" si="4"/>
        <v>0</v>
      </c>
      <c r="J14">
        <f t="shared" ca="1" si="5"/>
        <v>1</v>
      </c>
      <c r="K14">
        <f t="shared" ca="1" si="6"/>
        <v>1</v>
      </c>
      <c r="L14">
        <f t="shared" ca="1" si="7"/>
        <v>1</v>
      </c>
    </row>
    <row r="15" spans="1:12" x14ac:dyDescent="0.25">
      <c r="A15">
        <v>7</v>
      </c>
      <c r="B15" s="1">
        <f t="shared" ca="1" si="8"/>
        <v>7.5647636000000074E-2</v>
      </c>
      <c r="C15" s="1">
        <f t="shared" ca="1" si="9"/>
        <v>-0.28903454389999994</v>
      </c>
      <c r="D15" s="1">
        <f t="shared" ca="1" si="10"/>
        <v>0.27623587667600003</v>
      </c>
      <c r="E15">
        <f t="shared" ca="1" si="1"/>
        <v>4</v>
      </c>
      <c r="F15">
        <f t="shared" ca="1" si="2"/>
        <v>0.3518835126760001</v>
      </c>
      <c r="G15">
        <f t="shared" ca="1" si="0"/>
        <v>1</v>
      </c>
      <c r="H15" s="2">
        <f t="shared" ca="1" si="3"/>
        <v>0</v>
      </c>
      <c r="I15">
        <f t="shared" ca="1" si="4"/>
        <v>1</v>
      </c>
      <c r="J15">
        <f t="shared" ca="1" si="5"/>
        <v>0</v>
      </c>
      <c r="K15">
        <f t="shared" ca="1" si="6"/>
        <v>1</v>
      </c>
      <c r="L15">
        <f t="shared" ca="1" si="7"/>
        <v>1</v>
      </c>
    </row>
    <row r="16" spans="1:12" x14ac:dyDescent="0.25">
      <c r="A16">
        <v>8</v>
      </c>
      <c r="B16" s="1">
        <f t="shared" ca="1" si="8"/>
        <v>7.5647636000000074E-2</v>
      </c>
      <c r="C16" s="1">
        <f t="shared" ca="1" si="9"/>
        <v>-0.28903454389999994</v>
      </c>
      <c r="D16" s="1">
        <f t="shared" ca="1" si="10"/>
        <v>0.27623587667600003</v>
      </c>
      <c r="E16">
        <f t="shared" ca="1" si="1"/>
        <v>5</v>
      </c>
      <c r="F16">
        <f t="shared" ca="1" si="2"/>
        <v>6.2848968776000158E-2</v>
      </c>
      <c r="G16">
        <f t="shared" ca="1" si="0"/>
        <v>1</v>
      </c>
      <c r="H16" s="2">
        <f t="shared" ca="1" si="3"/>
        <v>-1</v>
      </c>
      <c r="I16">
        <f t="shared" ca="1" si="4"/>
        <v>1</v>
      </c>
      <c r="J16">
        <f t="shared" ca="1" si="5"/>
        <v>1</v>
      </c>
      <c r="K16">
        <f t="shared" ca="1" si="6"/>
        <v>1</v>
      </c>
      <c r="L16">
        <f t="shared" ca="1" si="7"/>
        <v>0</v>
      </c>
    </row>
    <row r="17" spans="1:12" x14ac:dyDescent="0.25">
      <c r="A17">
        <v>9</v>
      </c>
      <c r="B17" s="1">
        <f t="shared" ca="1" si="8"/>
        <v>-0.12435236399999994</v>
      </c>
      <c r="C17" s="1">
        <f t="shared" ca="1" si="9"/>
        <v>-0.48903454389999995</v>
      </c>
      <c r="D17" s="1">
        <f t="shared" ca="1" si="10"/>
        <v>7.6235876676000014E-2</v>
      </c>
      <c r="E17">
        <f t="shared" ca="1" si="1"/>
        <v>2</v>
      </c>
      <c r="F17">
        <f t="shared" ca="1" si="2"/>
        <v>7.6235876676000014E-2</v>
      </c>
      <c r="G17">
        <f t="shared" ca="1" si="0"/>
        <v>1</v>
      </c>
      <c r="H17" s="2">
        <f t="shared" ca="1" si="3"/>
        <v>-1</v>
      </c>
      <c r="I17">
        <f t="shared" ca="1" si="4"/>
        <v>0</v>
      </c>
      <c r="J17">
        <f t="shared" ca="1" si="5"/>
        <v>0</v>
      </c>
      <c r="K17">
        <f t="shared" ca="1" si="6"/>
        <v>1</v>
      </c>
      <c r="L17">
        <f t="shared" ca="1" si="7"/>
        <v>0</v>
      </c>
    </row>
    <row r="18" spans="1:12" x14ac:dyDescent="0.25">
      <c r="A18">
        <v>10</v>
      </c>
      <c r="B18" s="1">
        <f t="shared" ca="1" si="8"/>
        <v>-0.12435236399999994</v>
      </c>
      <c r="C18" s="1">
        <f t="shared" ca="1" si="9"/>
        <v>-0.48903454389999995</v>
      </c>
      <c r="D18" s="1">
        <f t="shared" ca="1" si="10"/>
        <v>-0.123764123324</v>
      </c>
      <c r="E18">
        <f t="shared" ca="1" si="1"/>
        <v>4</v>
      </c>
      <c r="F18">
        <f t="shared" ca="1" si="2"/>
        <v>-0.24811648732399993</v>
      </c>
      <c r="G18">
        <f t="shared" ca="1" si="0"/>
        <v>0</v>
      </c>
      <c r="H18" s="2">
        <f t="shared" ca="1" si="3"/>
        <v>1</v>
      </c>
      <c r="I18">
        <f t="shared" ca="1" si="4"/>
        <v>1</v>
      </c>
      <c r="J18">
        <f t="shared" ca="1" si="5"/>
        <v>0</v>
      </c>
      <c r="K18">
        <f t="shared" ca="1" si="6"/>
        <v>1</v>
      </c>
      <c r="L18">
        <f t="shared" ca="1" si="7"/>
        <v>1</v>
      </c>
    </row>
    <row r="19" spans="1:12" x14ac:dyDescent="0.25">
      <c r="A19">
        <v>11</v>
      </c>
      <c r="B19" s="1">
        <f t="shared" ca="1" si="8"/>
        <v>7.5647636000000074E-2</v>
      </c>
      <c r="C19" s="1">
        <f t="shared" ca="1" si="9"/>
        <v>-0.48903454389999995</v>
      </c>
      <c r="D19" s="1">
        <f t="shared" ca="1" si="10"/>
        <v>7.6235876676000014E-2</v>
      </c>
      <c r="E19">
        <f t="shared" ca="1" si="1"/>
        <v>2</v>
      </c>
      <c r="F19">
        <f t="shared" ca="1" si="2"/>
        <v>7.6235876676000014E-2</v>
      </c>
      <c r="G19">
        <f t="shared" ca="1" si="0"/>
        <v>1</v>
      </c>
      <c r="H19" s="2">
        <f t="shared" ca="1" si="3"/>
        <v>-1</v>
      </c>
      <c r="I19">
        <f t="shared" ca="1" si="4"/>
        <v>0</v>
      </c>
      <c r="J19">
        <f t="shared" ca="1" si="5"/>
        <v>0</v>
      </c>
      <c r="K19">
        <f t="shared" ca="1" si="6"/>
        <v>1</v>
      </c>
      <c r="L19">
        <f t="shared" ca="1" si="7"/>
        <v>0</v>
      </c>
    </row>
    <row r="20" spans="1:12" x14ac:dyDescent="0.25">
      <c r="A20">
        <v>12</v>
      </c>
      <c r="B20" s="1">
        <f t="shared" ca="1" si="8"/>
        <v>7.5647636000000074E-2</v>
      </c>
      <c r="C20" s="1">
        <f t="shared" ca="1" si="9"/>
        <v>-0.48903454389999995</v>
      </c>
      <c r="D20" s="1">
        <f t="shared" ca="1" si="10"/>
        <v>-0.123764123324</v>
      </c>
      <c r="E20">
        <f t="shared" ca="1" si="1"/>
        <v>4</v>
      </c>
      <c r="F20">
        <f t="shared" ca="1" si="2"/>
        <v>-4.8116487323999924E-2</v>
      </c>
      <c r="G20">
        <f t="shared" ca="1" si="0"/>
        <v>0</v>
      </c>
      <c r="H20" s="2">
        <f t="shared" ca="1" si="3"/>
        <v>1</v>
      </c>
      <c r="I20">
        <f t="shared" ca="1" si="4"/>
        <v>1</v>
      </c>
      <c r="J20">
        <f t="shared" ca="1" si="5"/>
        <v>0</v>
      </c>
      <c r="K20">
        <f t="shared" ca="1" si="6"/>
        <v>1</v>
      </c>
      <c r="L20">
        <f t="shared" ca="1" si="7"/>
        <v>1</v>
      </c>
    </row>
    <row r="21" spans="1:12" x14ac:dyDescent="0.25">
      <c r="A21">
        <v>13</v>
      </c>
      <c r="B21" s="1">
        <f t="shared" ca="1" si="8"/>
        <v>0.27564763600000008</v>
      </c>
      <c r="C21" s="1">
        <f t="shared" ca="1" si="9"/>
        <v>-0.48903454389999995</v>
      </c>
      <c r="D21" s="1">
        <f t="shared" ca="1" si="10"/>
        <v>7.6235876676000014E-2</v>
      </c>
      <c r="E21">
        <f t="shared" ca="1" si="1"/>
        <v>3</v>
      </c>
      <c r="F21">
        <f t="shared" ca="1" si="2"/>
        <v>-0.41279866722399994</v>
      </c>
      <c r="G21">
        <f t="shared" ca="1" si="0"/>
        <v>0</v>
      </c>
      <c r="H21" s="2">
        <f t="shared" ca="1" si="3"/>
        <v>1</v>
      </c>
      <c r="I21">
        <f t="shared" ca="1" si="4"/>
        <v>0</v>
      </c>
      <c r="J21">
        <f t="shared" ca="1" si="5"/>
        <v>1</v>
      </c>
      <c r="K21">
        <f t="shared" ca="1" si="6"/>
        <v>1</v>
      </c>
      <c r="L21">
        <f t="shared" ca="1" si="7"/>
        <v>1</v>
      </c>
    </row>
    <row r="22" spans="1:12" x14ac:dyDescent="0.25">
      <c r="A22">
        <v>14</v>
      </c>
      <c r="B22" s="1">
        <f t="shared" ca="1" si="8"/>
        <v>0.27564763600000008</v>
      </c>
      <c r="C22" s="1">
        <f t="shared" ca="1" si="9"/>
        <v>-0.28903454389999994</v>
      </c>
      <c r="D22" s="1">
        <f t="shared" ca="1" si="10"/>
        <v>0.27623587667600003</v>
      </c>
      <c r="E22">
        <f t="shared" ca="1" si="1"/>
        <v>3</v>
      </c>
      <c r="F22">
        <f t="shared" ref="F22:F85" ca="1" si="11">(B22*I22)+(C22*J22)+(D22*K22)</f>
        <v>-1.2798667223999916E-2</v>
      </c>
      <c r="G22">
        <f t="shared" ref="G22:G85" ca="1" si="12">IF($F22&lt;=0,0,1)</f>
        <v>0</v>
      </c>
      <c r="H22" s="2">
        <f t="shared" ref="H22:H85" ca="1" si="13">L22-G22</f>
        <v>1</v>
      </c>
      <c r="I22">
        <f t="shared" ref="I22:I85" ca="1" si="14">VLOOKUP(E22,$A$3:$E$6,2,FALSE)</f>
        <v>0</v>
      </c>
      <c r="J22">
        <f t="shared" ref="J22:J85" ca="1" si="15">VLOOKUP(E22,$A$3:$E$6,3,FALSE)</f>
        <v>1</v>
      </c>
      <c r="K22">
        <f t="shared" ref="K22:K85" ca="1" si="16">VLOOKUP(E22,$A$3:$E$6,4,FALSE)</f>
        <v>1</v>
      </c>
      <c r="L22">
        <f t="shared" ref="L22:L85" ca="1" si="17">VLOOKUP(E22,$A$3:$E$6,5,FALSE)</f>
        <v>1</v>
      </c>
    </row>
    <row r="23" spans="1:12" x14ac:dyDescent="0.25">
      <c r="A23">
        <v>15</v>
      </c>
      <c r="B23" s="1">
        <f t="shared" ca="1" si="8"/>
        <v>0.27564763600000008</v>
      </c>
      <c r="C23" s="1">
        <f t="shared" ca="1" si="9"/>
        <v>-8.9034543899999929E-2</v>
      </c>
      <c r="D23" s="1">
        <f t="shared" ca="1" si="10"/>
        <v>0.47623587667600004</v>
      </c>
      <c r="E23">
        <f t="shared" ca="1" si="1"/>
        <v>5</v>
      </c>
      <c r="F23">
        <f t="shared" ca="1" si="11"/>
        <v>0.66284896877600019</v>
      </c>
      <c r="G23">
        <f t="shared" ca="1" si="12"/>
        <v>1</v>
      </c>
      <c r="H23" s="2">
        <f t="shared" ca="1" si="13"/>
        <v>-1</v>
      </c>
      <c r="I23">
        <f t="shared" ca="1" si="14"/>
        <v>1</v>
      </c>
      <c r="J23">
        <f t="shared" ca="1" si="15"/>
        <v>1</v>
      </c>
      <c r="K23">
        <f t="shared" ca="1" si="16"/>
        <v>1</v>
      </c>
      <c r="L23">
        <f t="shared" ca="1" si="17"/>
        <v>0</v>
      </c>
    </row>
    <row r="24" spans="1:12" x14ac:dyDescent="0.25">
      <c r="A24">
        <v>16</v>
      </c>
      <c r="B24" s="1">
        <f t="shared" ca="1" si="8"/>
        <v>7.5647636000000074E-2</v>
      </c>
      <c r="C24" s="1">
        <f t="shared" ca="1" si="9"/>
        <v>-0.28903454389999994</v>
      </c>
      <c r="D24" s="1">
        <f t="shared" ca="1" si="10"/>
        <v>0.27623587667600003</v>
      </c>
      <c r="E24">
        <f t="shared" ca="1" si="1"/>
        <v>2</v>
      </c>
      <c r="F24">
        <f t="shared" ca="1" si="11"/>
        <v>0.27623587667600003</v>
      </c>
      <c r="G24">
        <f t="shared" ca="1" si="12"/>
        <v>1</v>
      </c>
      <c r="H24" s="2">
        <f t="shared" ca="1" si="13"/>
        <v>-1</v>
      </c>
      <c r="I24">
        <f t="shared" ca="1" si="14"/>
        <v>0</v>
      </c>
      <c r="J24">
        <f t="shared" ca="1" si="15"/>
        <v>0</v>
      </c>
      <c r="K24">
        <f t="shared" ca="1" si="16"/>
        <v>1</v>
      </c>
      <c r="L24">
        <f t="shared" ca="1" si="17"/>
        <v>0</v>
      </c>
    </row>
    <row r="25" spans="1:12" x14ac:dyDescent="0.25">
      <c r="A25">
        <v>17</v>
      </c>
      <c r="B25" s="1">
        <f t="shared" ca="1" si="8"/>
        <v>7.5647636000000074E-2</v>
      </c>
      <c r="C25" s="1">
        <f t="shared" ca="1" si="9"/>
        <v>-0.28903454389999994</v>
      </c>
      <c r="D25" s="1">
        <f t="shared" ca="1" si="10"/>
        <v>7.6235876676000014E-2</v>
      </c>
      <c r="E25">
        <f t="shared" ca="1" si="1"/>
        <v>4</v>
      </c>
      <c r="F25">
        <f t="shared" ca="1" si="11"/>
        <v>0.15188351267600009</v>
      </c>
      <c r="G25">
        <f t="shared" ca="1" si="12"/>
        <v>1</v>
      </c>
      <c r="H25" s="2">
        <f t="shared" ca="1" si="13"/>
        <v>0</v>
      </c>
      <c r="I25">
        <f t="shared" ca="1" si="14"/>
        <v>1</v>
      </c>
      <c r="J25">
        <f t="shared" ca="1" si="15"/>
        <v>0</v>
      </c>
      <c r="K25">
        <f t="shared" ca="1" si="16"/>
        <v>1</v>
      </c>
      <c r="L25">
        <f t="shared" ca="1" si="17"/>
        <v>1</v>
      </c>
    </row>
    <row r="26" spans="1:12" x14ac:dyDescent="0.25">
      <c r="A26">
        <v>18</v>
      </c>
      <c r="B26" s="1">
        <f t="shared" ca="1" si="8"/>
        <v>7.5647636000000074E-2</v>
      </c>
      <c r="C26" s="1">
        <f t="shared" ca="1" si="9"/>
        <v>-0.28903454389999994</v>
      </c>
      <c r="D26" s="1">
        <f t="shared" ca="1" si="10"/>
        <v>7.6235876676000014E-2</v>
      </c>
      <c r="E26">
        <f t="shared" ca="1" si="1"/>
        <v>4</v>
      </c>
      <c r="F26">
        <f t="shared" ca="1" si="11"/>
        <v>0.15188351267600009</v>
      </c>
      <c r="G26">
        <f t="shared" ca="1" si="12"/>
        <v>1</v>
      </c>
      <c r="H26" s="2">
        <f t="shared" ca="1" si="13"/>
        <v>0</v>
      </c>
      <c r="I26">
        <f t="shared" ca="1" si="14"/>
        <v>1</v>
      </c>
      <c r="J26">
        <f t="shared" ca="1" si="15"/>
        <v>0</v>
      </c>
      <c r="K26">
        <f t="shared" ca="1" si="16"/>
        <v>1</v>
      </c>
      <c r="L26">
        <f t="shared" ca="1" si="17"/>
        <v>1</v>
      </c>
    </row>
    <row r="27" spans="1:12" x14ac:dyDescent="0.25">
      <c r="A27">
        <v>19</v>
      </c>
      <c r="B27" s="1">
        <f t="shared" ca="1" si="8"/>
        <v>7.5647636000000074E-2</v>
      </c>
      <c r="C27" s="1">
        <f t="shared" ca="1" si="9"/>
        <v>-0.28903454389999994</v>
      </c>
      <c r="D27" s="1">
        <f t="shared" ca="1" si="10"/>
        <v>7.6235876676000014E-2</v>
      </c>
      <c r="E27">
        <f t="shared" ca="1" si="1"/>
        <v>4</v>
      </c>
      <c r="F27">
        <f t="shared" ca="1" si="11"/>
        <v>0.15188351267600009</v>
      </c>
      <c r="G27">
        <f t="shared" ca="1" si="12"/>
        <v>1</v>
      </c>
      <c r="H27" s="2">
        <f t="shared" ca="1" si="13"/>
        <v>0</v>
      </c>
      <c r="I27">
        <f t="shared" ca="1" si="14"/>
        <v>1</v>
      </c>
      <c r="J27">
        <f t="shared" ca="1" si="15"/>
        <v>0</v>
      </c>
      <c r="K27">
        <f t="shared" ca="1" si="16"/>
        <v>1</v>
      </c>
      <c r="L27">
        <f t="shared" ca="1" si="17"/>
        <v>1</v>
      </c>
    </row>
    <row r="28" spans="1:12" x14ac:dyDescent="0.25">
      <c r="A28">
        <v>20</v>
      </c>
      <c r="B28" s="1">
        <f t="shared" ca="1" si="8"/>
        <v>7.5647636000000074E-2</v>
      </c>
      <c r="C28" s="1">
        <f t="shared" ca="1" si="9"/>
        <v>-0.28903454389999994</v>
      </c>
      <c r="D28" s="1">
        <f t="shared" ca="1" si="10"/>
        <v>7.6235876676000014E-2</v>
      </c>
      <c r="E28">
        <f t="shared" ca="1" si="1"/>
        <v>2</v>
      </c>
      <c r="F28">
        <f t="shared" ca="1" si="11"/>
        <v>7.6235876676000014E-2</v>
      </c>
      <c r="G28">
        <f t="shared" ca="1" si="12"/>
        <v>1</v>
      </c>
      <c r="H28" s="2">
        <f t="shared" ca="1" si="13"/>
        <v>-1</v>
      </c>
      <c r="I28">
        <f t="shared" ca="1" si="14"/>
        <v>0</v>
      </c>
      <c r="J28">
        <f t="shared" ca="1" si="15"/>
        <v>0</v>
      </c>
      <c r="K28">
        <f t="shared" ca="1" si="16"/>
        <v>1</v>
      </c>
      <c r="L28">
        <f t="shared" ca="1" si="17"/>
        <v>0</v>
      </c>
    </row>
    <row r="29" spans="1:12" x14ac:dyDescent="0.25">
      <c r="A29">
        <v>21</v>
      </c>
      <c r="B29" s="1">
        <f t="shared" ca="1" si="8"/>
        <v>7.5647636000000074E-2</v>
      </c>
      <c r="C29" s="1">
        <f t="shared" ca="1" si="9"/>
        <v>-0.28903454389999994</v>
      </c>
      <c r="D29" s="1">
        <f t="shared" ca="1" si="10"/>
        <v>-0.123764123324</v>
      </c>
      <c r="E29">
        <f t="shared" ca="1" si="1"/>
        <v>3</v>
      </c>
      <c r="F29">
        <f t="shared" ca="1" si="11"/>
        <v>-0.41279866722399994</v>
      </c>
      <c r="G29">
        <f t="shared" ca="1" si="12"/>
        <v>0</v>
      </c>
      <c r="H29" s="2">
        <f t="shared" ca="1" si="13"/>
        <v>1</v>
      </c>
      <c r="I29">
        <f t="shared" ca="1" si="14"/>
        <v>0</v>
      </c>
      <c r="J29">
        <f t="shared" ca="1" si="15"/>
        <v>1</v>
      </c>
      <c r="K29">
        <f t="shared" ca="1" si="16"/>
        <v>1</v>
      </c>
      <c r="L29">
        <f t="shared" ca="1" si="17"/>
        <v>1</v>
      </c>
    </row>
    <row r="30" spans="1:12" x14ac:dyDescent="0.25">
      <c r="A30">
        <v>22</v>
      </c>
      <c r="B30" s="1">
        <f t="shared" ca="1" si="8"/>
        <v>7.5647636000000074E-2</v>
      </c>
      <c r="C30" s="1">
        <f t="shared" ca="1" si="9"/>
        <v>-8.9034543899999929E-2</v>
      </c>
      <c r="D30" s="1">
        <f t="shared" ca="1" si="10"/>
        <v>7.6235876676000014E-2</v>
      </c>
      <c r="E30">
        <f t="shared" ca="1" si="1"/>
        <v>2</v>
      </c>
      <c r="F30">
        <f t="shared" ca="1" si="11"/>
        <v>7.6235876676000014E-2</v>
      </c>
      <c r="G30">
        <f t="shared" ca="1" si="12"/>
        <v>1</v>
      </c>
      <c r="H30" s="2">
        <f t="shared" ca="1" si="13"/>
        <v>-1</v>
      </c>
      <c r="I30">
        <f t="shared" ca="1" si="14"/>
        <v>0</v>
      </c>
      <c r="J30">
        <f t="shared" ca="1" si="15"/>
        <v>0</v>
      </c>
      <c r="K30">
        <f t="shared" ca="1" si="16"/>
        <v>1</v>
      </c>
      <c r="L30">
        <f t="shared" ca="1" si="17"/>
        <v>0</v>
      </c>
    </row>
    <row r="31" spans="1:12" x14ac:dyDescent="0.25">
      <c r="A31">
        <v>23</v>
      </c>
      <c r="B31" s="1">
        <f t="shared" ca="1" si="8"/>
        <v>7.5647636000000074E-2</v>
      </c>
      <c r="C31" s="1">
        <f t="shared" ca="1" si="9"/>
        <v>-8.9034543899999929E-2</v>
      </c>
      <c r="D31" s="1">
        <f t="shared" ca="1" si="10"/>
        <v>-0.123764123324</v>
      </c>
      <c r="E31">
        <f t="shared" ca="1" si="1"/>
        <v>4</v>
      </c>
      <c r="F31">
        <f t="shared" ca="1" si="11"/>
        <v>-4.8116487323999924E-2</v>
      </c>
      <c r="G31">
        <f t="shared" ca="1" si="12"/>
        <v>0</v>
      </c>
      <c r="H31" s="2">
        <f t="shared" ca="1" si="13"/>
        <v>1</v>
      </c>
      <c r="I31">
        <f t="shared" ca="1" si="14"/>
        <v>1</v>
      </c>
      <c r="J31">
        <f t="shared" ca="1" si="15"/>
        <v>0</v>
      </c>
      <c r="K31">
        <f t="shared" ca="1" si="16"/>
        <v>1</v>
      </c>
      <c r="L31">
        <f t="shared" ca="1" si="17"/>
        <v>1</v>
      </c>
    </row>
    <row r="32" spans="1:12" x14ac:dyDescent="0.25">
      <c r="A32">
        <v>24</v>
      </c>
      <c r="B32" s="1">
        <f t="shared" ca="1" si="8"/>
        <v>0.27564763600000008</v>
      </c>
      <c r="C32" s="1">
        <f t="shared" ca="1" si="9"/>
        <v>-8.9034543899999929E-2</v>
      </c>
      <c r="D32" s="1">
        <f t="shared" ca="1" si="10"/>
        <v>7.6235876676000014E-2</v>
      </c>
      <c r="E32">
        <f t="shared" ca="1" si="1"/>
        <v>4</v>
      </c>
      <c r="F32">
        <f t="shared" ca="1" si="11"/>
        <v>0.3518835126760001</v>
      </c>
      <c r="G32">
        <f t="shared" ca="1" si="12"/>
        <v>1</v>
      </c>
      <c r="H32" s="2">
        <f t="shared" ca="1" si="13"/>
        <v>0</v>
      </c>
      <c r="I32">
        <f t="shared" ca="1" si="14"/>
        <v>1</v>
      </c>
      <c r="J32">
        <f t="shared" ca="1" si="15"/>
        <v>0</v>
      </c>
      <c r="K32">
        <f t="shared" ca="1" si="16"/>
        <v>1</v>
      </c>
      <c r="L32">
        <f t="shared" ca="1" si="17"/>
        <v>1</v>
      </c>
    </row>
    <row r="33" spans="1:12" x14ac:dyDescent="0.25">
      <c r="A33">
        <v>25</v>
      </c>
      <c r="B33" s="1">
        <f t="shared" ca="1" si="8"/>
        <v>0.27564763600000008</v>
      </c>
      <c r="C33" s="1">
        <f t="shared" ca="1" si="9"/>
        <v>-8.9034543899999929E-2</v>
      </c>
      <c r="D33" s="1">
        <f t="shared" ca="1" si="10"/>
        <v>7.6235876676000014E-2</v>
      </c>
      <c r="E33">
        <f t="shared" ca="1" si="1"/>
        <v>2</v>
      </c>
      <c r="F33">
        <f t="shared" ca="1" si="11"/>
        <v>7.6235876676000014E-2</v>
      </c>
      <c r="G33">
        <f t="shared" ca="1" si="12"/>
        <v>1</v>
      </c>
      <c r="H33" s="2">
        <f t="shared" ca="1" si="13"/>
        <v>-1</v>
      </c>
      <c r="I33">
        <f t="shared" ca="1" si="14"/>
        <v>0</v>
      </c>
      <c r="J33">
        <f t="shared" ca="1" si="15"/>
        <v>0</v>
      </c>
      <c r="K33">
        <f t="shared" ca="1" si="16"/>
        <v>1</v>
      </c>
      <c r="L33">
        <f t="shared" ca="1" si="17"/>
        <v>0</v>
      </c>
    </row>
    <row r="34" spans="1:12" x14ac:dyDescent="0.25">
      <c r="A34">
        <v>26</v>
      </c>
      <c r="B34" s="1">
        <f t="shared" ca="1" si="8"/>
        <v>0.27564763600000008</v>
      </c>
      <c r="C34" s="1">
        <f t="shared" ca="1" si="9"/>
        <v>-8.9034543899999929E-2</v>
      </c>
      <c r="D34" s="1">
        <f t="shared" ca="1" si="10"/>
        <v>-0.123764123324</v>
      </c>
      <c r="E34">
        <f t="shared" ca="1" si="1"/>
        <v>3</v>
      </c>
      <c r="F34">
        <f t="shared" ca="1" si="11"/>
        <v>-0.21279866722399993</v>
      </c>
      <c r="G34">
        <f t="shared" ca="1" si="12"/>
        <v>0</v>
      </c>
      <c r="H34" s="2">
        <f t="shared" ca="1" si="13"/>
        <v>1</v>
      </c>
      <c r="I34">
        <f t="shared" ca="1" si="14"/>
        <v>0</v>
      </c>
      <c r="J34">
        <f t="shared" ca="1" si="15"/>
        <v>1</v>
      </c>
      <c r="K34">
        <f t="shared" ca="1" si="16"/>
        <v>1</v>
      </c>
      <c r="L34">
        <f t="shared" ca="1" si="17"/>
        <v>1</v>
      </c>
    </row>
    <row r="35" spans="1:12" x14ac:dyDescent="0.25">
      <c r="A35">
        <v>27</v>
      </c>
      <c r="B35" s="1">
        <f t="shared" ca="1" si="8"/>
        <v>0.27564763600000008</v>
      </c>
      <c r="C35" s="1">
        <f t="shared" ca="1" si="9"/>
        <v>0.11096545610000008</v>
      </c>
      <c r="D35" s="1">
        <f t="shared" ca="1" si="10"/>
        <v>7.6235876676000014E-2</v>
      </c>
      <c r="E35">
        <f t="shared" ca="1" si="1"/>
        <v>2</v>
      </c>
      <c r="F35">
        <f t="shared" ca="1" si="11"/>
        <v>7.6235876676000014E-2</v>
      </c>
      <c r="G35">
        <f t="shared" ca="1" si="12"/>
        <v>1</v>
      </c>
      <c r="H35" s="2">
        <f t="shared" ca="1" si="13"/>
        <v>-1</v>
      </c>
      <c r="I35">
        <f t="shared" ca="1" si="14"/>
        <v>0</v>
      </c>
      <c r="J35">
        <f t="shared" ca="1" si="15"/>
        <v>0</v>
      </c>
      <c r="K35">
        <f t="shared" ca="1" si="16"/>
        <v>1</v>
      </c>
      <c r="L35">
        <f t="shared" ca="1" si="17"/>
        <v>0</v>
      </c>
    </row>
    <row r="36" spans="1:12" x14ac:dyDescent="0.25">
      <c r="A36">
        <v>28</v>
      </c>
      <c r="B36" s="1">
        <f t="shared" ca="1" si="8"/>
        <v>0.27564763600000008</v>
      </c>
      <c r="C36" s="1">
        <f t="shared" ca="1" si="9"/>
        <v>0.11096545610000008</v>
      </c>
      <c r="D36" s="1">
        <f t="shared" ca="1" si="10"/>
        <v>-0.123764123324</v>
      </c>
      <c r="E36">
        <f t="shared" ca="1" si="1"/>
        <v>3</v>
      </c>
      <c r="F36">
        <f t="shared" ca="1" si="11"/>
        <v>-1.2798667223999916E-2</v>
      </c>
      <c r="G36">
        <f t="shared" ca="1" si="12"/>
        <v>0</v>
      </c>
      <c r="H36" s="2">
        <f t="shared" ca="1" si="13"/>
        <v>1</v>
      </c>
      <c r="I36">
        <f t="shared" ca="1" si="14"/>
        <v>0</v>
      </c>
      <c r="J36">
        <f t="shared" ca="1" si="15"/>
        <v>1</v>
      </c>
      <c r="K36">
        <f t="shared" ca="1" si="16"/>
        <v>1</v>
      </c>
      <c r="L36">
        <f t="shared" ca="1" si="17"/>
        <v>1</v>
      </c>
    </row>
    <row r="37" spans="1:12" x14ac:dyDescent="0.25">
      <c r="A37">
        <v>29</v>
      </c>
      <c r="B37" s="1">
        <f t="shared" ca="1" si="8"/>
        <v>0.27564763600000008</v>
      </c>
      <c r="C37" s="1">
        <f t="shared" ca="1" si="9"/>
        <v>0.31096545610000009</v>
      </c>
      <c r="D37" s="1">
        <f t="shared" ca="1" si="10"/>
        <v>7.6235876676000014E-2</v>
      </c>
      <c r="E37">
        <f t="shared" ca="1" si="1"/>
        <v>4</v>
      </c>
      <c r="F37">
        <f t="shared" ca="1" si="11"/>
        <v>0.3518835126760001</v>
      </c>
      <c r="G37">
        <f t="shared" ca="1" si="12"/>
        <v>1</v>
      </c>
      <c r="H37" s="2">
        <f t="shared" ca="1" si="13"/>
        <v>0</v>
      </c>
      <c r="I37">
        <f t="shared" ca="1" si="14"/>
        <v>1</v>
      </c>
      <c r="J37">
        <f t="shared" ca="1" si="15"/>
        <v>0</v>
      </c>
      <c r="K37">
        <f t="shared" ca="1" si="16"/>
        <v>1</v>
      </c>
      <c r="L37">
        <f t="shared" ca="1" si="17"/>
        <v>1</v>
      </c>
    </row>
    <row r="38" spans="1:12" x14ac:dyDescent="0.25">
      <c r="A38">
        <v>30</v>
      </c>
      <c r="B38" s="1">
        <f t="shared" ca="1" si="8"/>
        <v>0.27564763600000008</v>
      </c>
      <c r="C38" s="1">
        <f t="shared" ca="1" si="9"/>
        <v>0.31096545610000009</v>
      </c>
      <c r="D38" s="1">
        <f t="shared" ca="1" si="10"/>
        <v>7.6235876676000014E-2</v>
      </c>
      <c r="E38">
        <f t="shared" ca="1" si="1"/>
        <v>2</v>
      </c>
      <c r="F38">
        <f t="shared" ca="1" si="11"/>
        <v>7.6235876676000014E-2</v>
      </c>
      <c r="G38">
        <f t="shared" ca="1" si="12"/>
        <v>1</v>
      </c>
      <c r="H38" s="2">
        <f t="shared" ca="1" si="13"/>
        <v>-1</v>
      </c>
      <c r="I38">
        <f t="shared" ca="1" si="14"/>
        <v>0</v>
      </c>
      <c r="J38">
        <f t="shared" ca="1" si="15"/>
        <v>0</v>
      </c>
      <c r="K38">
        <f t="shared" ca="1" si="16"/>
        <v>1</v>
      </c>
      <c r="L38">
        <f t="shared" ca="1" si="17"/>
        <v>0</v>
      </c>
    </row>
    <row r="39" spans="1:12" x14ac:dyDescent="0.25">
      <c r="A39">
        <v>31</v>
      </c>
      <c r="B39" s="1">
        <f t="shared" ca="1" si="8"/>
        <v>0.27564763600000008</v>
      </c>
      <c r="C39" s="1">
        <f t="shared" ca="1" si="9"/>
        <v>0.31096545610000009</v>
      </c>
      <c r="D39" s="1">
        <f t="shared" ca="1" si="10"/>
        <v>-0.123764123324</v>
      </c>
      <c r="E39">
        <f t="shared" ca="1" si="1"/>
        <v>3</v>
      </c>
      <c r="F39">
        <f t="shared" ca="1" si="11"/>
        <v>0.1872013327760001</v>
      </c>
      <c r="G39">
        <f t="shared" ca="1" si="12"/>
        <v>1</v>
      </c>
      <c r="H39" s="2">
        <f t="shared" ca="1" si="13"/>
        <v>0</v>
      </c>
      <c r="I39">
        <f t="shared" ca="1" si="14"/>
        <v>0</v>
      </c>
      <c r="J39">
        <f t="shared" ca="1" si="15"/>
        <v>1</v>
      </c>
      <c r="K39">
        <f t="shared" ca="1" si="16"/>
        <v>1</v>
      </c>
      <c r="L39">
        <f t="shared" ca="1" si="17"/>
        <v>1</v>
      </c>
    </row>
    <row r="40" spans="1:12" x14ac:dyDescent="0.25">
      <c r="A40">
        <v>32</v>
      </c>
      <c r="B40" s="1">
        <f t="shared" ca="1" si="8"/>
        <v>0.27564763600000008</v>
      </c>
      <c r="C40" s="1">
        <f t="shared" ca="1" si="9"/>
        <v>0.31096545610000009</v>
      </c>
      <c r="D40" s="1">
        <f t="shared" ca="1" si="10"/>
        <v>-0.123764123324</v>
      </c>
      <c r="E40">
        <f t="shared" ca="1" si="1"/>
        <v>5</v>
      </c>
      <c r="F40">
        <f t="shared" ca="1" si="11"/>
        <v>0.46284896877600012</v>
      </c>
      <c r="G40">
        <f t="shared" ca="1" si="12"/>
        <v>1</v>
      </c>
      <c r="H40" s="2">
        <f t="shared" ca="1" si="13"/>
        <v>-1</v>
      </c>
      <c r="I40">
        <f t="shared" ca="1" si="14"/>
        <v>1</v>
      </c>
      <c r="J40">
        <f t="shared" ca="1" si="15"/>
        <v>1</v>
      </c>
      <c r="K40">
        <f t="shared" ca="1" si="16"/>
        <v>1</v>
      </c>
      <c r="L40">
        <f t="shared" ca="1" si="17"/>
        <v>0</v>
      </c>
    </row>
    <row r="41" spans="1:12" x14ac:dyDescent="0.25">
      <c r="A41">
        <v>33</v>
      </c>
      <c r="B41" s="1">
        <f t="shared" ca="1" si="8"/>
        <v>7.5647636000000074E-2</v>
      </c>
      <c r="C41" s="1">
        <f t="shared" ca="1" si="9"/>
        <v>0.11096545610000008</v>
      </c>
      <c r="D41" s="1">
        <f t="shared" ca="1" si="10"/>
        <v>-0.32376412332400001</v>
      </c>
      <c r="E41">
        <f t="shared" ca="1" si="1"/>
        <v>4</v>
      </c>
      <c r="F41">
        <f t="shared" ca="1" si="11"/>
        <v>-0.24811648732399993</v>
      </c>
      <c r="G41">
        <f t="shared" ca="1" si="12"/>
        <v>0</v>
      </c>
      <c r="H41" s="2">
        <f t="shared" ca="1" si="13"/>
        <v>1</v>
      </c>
      <c r="I41">
        <f t="shared" ca="1" si="14"/>
        <v>1</v>
      </c>
      <c r="J41">
        <f t="shared" ca="1" si="15"/>
        <v>0</v>
      </c>
      <c r="K41">
        <f t="shared" ca="1" si="16"/>
        <v>1</v>
      </c>
      <c r="L41">
        <f t="shared" ca="1" si="17"/>
        <v>1</v>
      </c>
    </row>
    <row r="42" spans="1:12" x14ac:dyDescent="0.25">
      <c r="A42">
        <v>34</v>
      </c>
      <c r="B42" s="1">
        <f t="shared" ca="1" si="8"/>
        <v>0.27564763600000008</v>
      </c>
      <c r="C42" s="1">
        <f t="shared" ca="1" si="9"/>
        <v>0.11096545610000008</v>
      </c>
      <c r="D42" s="1">
        <f t="shared" ca="1" si="10"/>
        <v>-0.123764123324</v>
      </c>
      <c r="E42">
        <f t="shared" ca="1" si="1"/>
        <v>4</v>
      </c>
      <c r="F42">
        <f t="shared" ca="1" si="11"/>
        <v>0.15188351267600009</v>
      </c>
      <c r="G42">
        <f t="shared" ca="1" si="12"/>
        <v>1</v>
      </c>
      <c r="H42" s="2">
        <f t="shared" ca="1" si="13"/>
        <v>0</v>
      </c>
      <c r="I42">
        <f t="shared" ca="1" si="14"/>
        <v>1</v>
      </c>
      <c r="J42">
        <f t="shared" ca="1" si="15"/>
        <v>0</v>
      </c>
      <c r="K42">
        <f t="shared" ca="1" si="16"/>
        <v>1</v>
      </c>
      <c r="L42">
        <f t="shared" ca="1" si="17"/>
        <v>1</v>
      </c>
    </row>
    <row r="43" spans="1:12" x14ac:dyDescent="0.25">
      <c r="A43">
        <v>35</v>
      </c>
      <c r="B43" s="1">
        <f t="shared" ca="1" si="8"/>
        <v>0.27564763600000008</v>
      </c>
      <c r="C43" s="1">
        <f t="shared" ca="1" si="9"/>
        <v>0.11096545610000008</v>
      </c>
      <c r="D43" s="1">
        <f t="shared" ca="1" si="10"/>
        <v>-0.123764123324</v>
      </c>
      <c r="E43">
        <f t="shared" ca="1" si="1"/>
        <v>3</v>
      </c>
      <c r="F43">
        <f t="shared" ca="1" si="11"/>
        <v>-1.2798667223999916E-2</v>
      </c>
      <c r="G43">
        <f t="shared" ca="1" si="12"/>
        <v>0</v>
      </c>
      <c r="H43" s="2">
        <f t="shared" ca="1" si="13"/>
        <v>1</v>
      </c>
      <c r="I43">
        <f t="shared" ca="1" si="14"/>
        <v>0</v>
      </c>
      <c r="J43">
        <f t="shared" ca="1" si="15"/>
        <v>1</v>
      </c>
      <c r="K43">
        <f t="shared" ca="1" si="16"/>
        <v>1</v>
      </c>
      <c r="L43">
        <f t="shared" ca="1" si="17"/>
        <v>1</v>
      </c>
    </row>
    <row r="44" spans="1:12" x14ac:dyDescent="0.25">
      <c r="A44">
        <v>36</v>
      </c>
      <c r="B44" s="1">
        <f t="shared" ca="1" si="8"/>
        <v>0.27564763600000008</v>
      </c>
      <c r="C44" s="1">
        <f t="shared" ca="1" si="9"/>
        <v>0.31096545610000009</v>
      </c>
      <c r="D44" s="1">
        <f t="shared" ca="1" si="10"/>
        <v>7.6235876676000014E-2</v>
      </c>
      <c r="E44">
        <f t="shared" ca="1" si="1"/>
        <v>2</v>
      </c>
      <c r="F44">
        <f t="shared" ca="1" si="11"/>
        <v>7.6235876676000014E-2</v>
      </c>
      <c r="G44">
        <f t="shared" ca="1" si="12"/>
        <v>1</v>
      </c>
      <c r="H44" s="2">
        <f t="shared" ca="1" si="13"/>
        <v>-1</v>
      </c>
      <c r="I44">
        <f t="shared" ca="1" si="14"/>
        <v>0</v>
      </c>
      <c r="J44">
        <f t="shared" ca="1" si="15"/>
        <v>0</v>
      </c>
      <c r="K44">
        <f t="shared" ca="1" si="16"/>
        <v>1</v>
      </c>
      <c r="L44">
        <f t="shared" ca="1" si="17"/>
        <v>0</v>
      </c>
    </row>
    <row r="45" spans="1:12" x14ac:dyDescent="0.25">
      <c r="A45">
        <v>37</v>
      </c>
      <c r="B45" s="1">
        <f t="shared" ca="1" si="8"/>
        <v>0.27564763600000008</v>
      </c>
      <c r="C45" s="1">
        <f t="shared" ca="1" si="9"/>
        <v>0.31096545610000009</v>
      </c>
      <c r="D45" s="1">
        <f t="shared" ca="1" si="10"/>
        <v>-0.123764123324</v>
      </c>
      <c r="E45">
        <f t="shared" ca="1" si="1"/>
        <v>5</v>
      </c>
      <c r="F45">
        <f t="shared" ca="1" si="11"/>
        <v>0.46284896877600012</v>
      </c>
      <c r="G45">
        <f t="shared" ca="1" si="12"/>
        <v>1</v>
      </c>
      <c r="H45" s="2">
        <f t="shared" ca="1" si="13"/>
        <v>-1</v>
      </c>
      <c r="I45">
        <f t="shared" ca="1" si="14"/>
        <v>1</v>
      </c>
      <c r="J45">
        <f t="shared" ca="1" si="15"/>
        <v>1</v>
      </c>
      <c r="K45">
        <f t="shared" ca="1" si="16"/>
        <v>1</v>
      </c>
      <c r="L45">
        <f t="shared" ca="1" si="17"/>
        <v>0</v>
      </c>
    </row>
    <row r="46" spans="1:12" x14ac:dyDescent="0.25">
      <c r="A46">
        <v>38</v>
      </c>
      <c r="B46" s="1">
        <f t="shared" ca="1" si="8"/>
        <v>7.5647636000000074E-2</v>
      </c>
      <c r="C46" s="1">
        <f t="shared" ca="1" si="9"/>
        <v>0.11096545610000008</v>
      </c>
      <c r="D46" s="1">
        <f t="shared" ca="1" si="10"/>
        <v>-0.32376412332400001</v>
      </c>
      <c r="E46">
        <f t="shared" ca="1" si="1"/>
        <v>5</v>
      </c>
      <c r="F46">
        <f t="shared" ca="1" si="11"/>
        <v>-0.13715103122399985</v>
      </c>
      <c r="G46">
        <f t="shared" ca="1" si="12"/>
        <v>0</v>
      </c>
      <c r="H46" s="2">
        <f t="shared" ca="1" si="13"/>
        <v>0</v>
      </c>
      <c r="I46">
        <f t="shared" ca="1" si="14"/>
        <v>1</v>
      </c>
      <c r="J46">
        <f t="shared" ca="1" si="15"/>
        <v>1</v>
      </c>
      <c r="K46">
        <f t="shared" ca="1" si="16"/>
        <v>1</v>
      </c>
      <c r="L46">
        <f t="shared" ca="1" si="17"/>
        <v>0</v>
      </c>
    </row>
    <row r="47" spans="1:12" x14ac:dyDescent="0.25">
      <c r="A47">
        <v>39</v>
      </c>
      <c r="B47" s="1">
        <f t="shared" ca="1" si="8"/>
        <v>7.5647636000000074E-2</v>
      </c>
      <c r="C47" s="1">
        <f t="shared" ca="1" si="9"/>
        <v>0.11096545610000008</v>
      </c>
      <c r="D47" s="1">
        <f t="shared" ca="1" si="10"/>
        <v>-0.32376412332400001</v>
      </c>
      <c r="E47">
        <f t="shared" ca="1" si="1"/>
        <v>3</v>
      </c>
      <c r="F47">
        <f t="shared" ca="1" si="11"/>
        <v>-0.21279866722399993</v>
      </c>
      <c r="G47">
        <f t="shared" ca="1" si="12"/>
        <v>0</v>
      </c>
      <c r="H47" s="2">
        <f t="shared" ca="1" si="13"/>
        <v>1</v>
      </c>
      <c r="I47">
        <f t="shared" ca="1" si="14"/>
        <v>0</v>
      </c>
      <c r="J47">
        <f t="shared" ca="1" si="15"/>
        <v>1</v>
      </c>
      <c r="K47">
        <f t="shared" ca="1" si="16"/>
        <v>1</v>
      </c>
      <c r="L47">
        <f t="shared" ca="1" si="17"/>
        <v>1</v>
      </c>
    </row>
    <row r="48" spans="1:12" x14ac:dyDescent="0.25">
      <c r="A48">
        <v>40</v>
      </c>
      <c r="B48" s="1">
        <f t="shared" ca="1" si="8"/>
        <v>7.5647636000000074E-2</v>
      </c>
      <c r="C48" s="1">
        <f t="shared" ca="1" si="9"/>
        <v>0.31096545610000009</v>
      </c>
      <c r="D48" s="1">
        <f t="shared" ca="1" si="10"/>
        <v>-0.123764123324</v>
      </c>
      <c r="E48">
        <f t="shared" ca="1" si="1"/>
        <v>5</v>
      </c>
      <c r="F48">
        <f t="shared" ca="1" si="11"/>
        <v>0.26284896877600017</v>
      </c>
      <c r="G48">
        <f t="shared" ca="1" si="12"/>
        <v>1</v>
      </c>
      <c r="H48" s="2">
        <f t="shared" ca="1" si="13"/>
        <v>-1</v>
      </c>
      <c r="I48">
        <f t="shared" ca="1" si="14"/>
        <v>1</v>
      </c>
      <c r="J48">
        <f t="shared" ca="1" si="15"/>
        <v>1</v>
      </c>
      <c r="K48">
        <f t="shared" ca="1" si="16"/>
        <v>1</v>
      </c>
      <c r="L48">
        <f t="shared" ca="1" si="17"/>
        <v>0</v>
      </c>
    </row>
    <row r="49" spans="1:12" x14ac:dyDescent="0.25">
      <c r="A49">
        <v>41</v>
      </c>
      <c r="B49" s="1">
        <f t="shared" ca="1" si="8"/>
        <v>-0.12435236399999994</v>
      </c>
      <c r="C49" s="1">
        <f t="shared" ca="1" si="9"/>
        <v>0.11096545610000008</v>
      </c>
      <c r="D49" s="1">
        <f t="shared" ca="1" si="10"/>
        <v>-0.32376412332400001</v>
      </c>
      <c r="E49">
        <f t="shared" ca="1" si="1"/>
        <v>3</v>
      </c>
      <c r="F49">
        <f t="shared" ca="1" si="11"/>
        <v>-0.21279866722399993</v>
      </c>
      <c r="G49">
        <f t="shared" ca="1" si="12"/>
        <v>0</v>
      </c>
      <c r="H49" s="2">
        <f t="shared" ca="1" si="13"/>
        <v>1</v>
      </c>
      <c r="I49">
        <f t="shared" ca="1" si="14"/>
        <v>0</v>
      </c>
      <c r="J49">
        <f t="shared" ca="1" si="15"/>
        <v>1</v>
      </c>
      <c r="K49">
        <f t="shared" ca="1" si="16"/>
        <v>1</v>
      </c>
      <c r="L49">
        <f t="shared" ca="1" si="17"/>
        <v>1</v>
      </c>
    </row>
    <row r="50" spans="1:12" x14ac:dyDescent="0.25">
      <c r="A50">
        <v>42</v>
      </c>
      <c r="B50" s="1">
        <f t="shared" ca="1" si="8"/>
        <v>-0.12435236399999994</v>
      </c>
      <c r="C50" s="1">
        <f t="shared" ca="1" si="9"/>
        <v>0.31096545610000009</v>
      </c>
      <c r="D50" s="1">
        <f t="shared" ca="1" si="10"/>
        <v>-0.123764123324</v>
      </c>
      <c r="E50">
        <f t="shared" ca="1" si="1"/>
        <v>5</v>
      </c>
      <c r="F50">
        <f t="shared" ca="1" si="11"/>
        <v>6.2848968776000158E-2</v>
      </c>
      <c r="G50">
        <f t="shared" ca="1" si="12"/>
        <v>1</v>
      </c>
      <c r="H50" s="2">
        <f t="shared" ca="1" si="13"/>
        <v>-1</v>
      </c>
      <c r="I50">
        <f t="shared" ca="1" si="14"/>
        <v>1</v>
      </c>
      <c r="J50">
        <f t="shared" ca="1" si="15"/>
        <v>1</v>
      </c>
      <c r="K50">
        <f t="shared" ca="1" si="16"/>
        <v>1</v>
      </c>
      <c r="L50">
        <f t="shared" ca="1" si="17"/>
        <v>0</v>
      </c>
    </row>
    <row r="51" spans="1:12" x14ac:dyDescent="0.25">
      <c r="A51">
        <v>43</v>
      </c>
      <c r="B51" s="1">
        <f t="shared" ca="1" si="8"/>
        <v>-0.32435236399999995</v>
      </c>
      <c r="C51" s="1">
        <f t="shared" ca="1" si="9"/>
        <v>0.11096545610000008</v>
      </c>
      <c r="D51" s="1">
        <f t="shared" ca="1" si="10"/>
        <v>-0.32376412332400001</v>
      </c>
      <c r="E51">
        <f t="shared" ca="1" si="1"/>
        <v>5</v>
      </c>
      <c r="F51">
        <f t="shared" ca="1" si="11"/>
        <v>-0.53715103122399988</v>
      </c>
      <c r="G51">
        <f t="shared" ca="1" si="12"/>
        <v>0</v>
      </c>
      <c r="H51" s="2">
        <f t="shared" ca="1" si="13"/>
        <v>0</v>
      </c>
      <c r="I51">
        <f t="shared" ca="1" si="14"/>
        <v>1</v>
      </c>
      <c r="J51">
        <f t="shared" ca="1" si="15"/>
        <v>1</v>
      </c>
      <c r="K51">
        <f t="shared" ca="1" si="16"/>
        <v>1</v>
      </c>
      <c r="L51">
        <f t="shared" ca="1" si="17"/>
        <v>0</v>
      </c>
    </row>
    <row r="52" spans="1:12" x14ac:dyDescent="0.25">
      <c r="A52">
        <v>44</v>
      </c>
      <c r="B52" s="1">
        <f t="shared" ca="1" si="8"/>
        <v>-0.32435236399999995</v>
      </c>
      <c r="C52" s="1">
        <f t="shared" ca="1" si="9"/>
        <v>0.11096545610000008</v>
      </c>
      <c r="D52" s="1">
        <f t="shared" ca="1" si="10"/>
        <v>-0.32376412332400001</v>
      </c>
      <c r="E52">
        <f t="shared" ca="1" si="1"/>
        <v>3</v>
      </c>
      <c r="F52">
        <f t="shared" ca="1" si="11"/>
        <v>-0.21279866722399993</v>
      </c>
      <c r="G52">
        <f t="shared" ca="1" si="12"/>
        <v>0</v>
      </c>
      <c r="H52" s="2">
        <f t="shared" ca="1" si="13"/>
        <v>1</v>
      </c>
      <c r="I52">
        <f t="shared" ca="1" si="14"/>
        <v>0</v>
      </c>
      <c r="J52">
        <f t="shared" ca="1" si="15"/>
        <v>1</v>
      </c>
      <c r="K52">
        <f t="shared" ca="1" si="16"/>
        <v>1</v>
      </c>
      <c r="L52">
        <f t="shared" ca="1" si="17"/>
        <v>1</v>
      </c>
    </row>
    <row r="53" spans="1:12" x14ac:dyDescent="0.25">
      <c r="A53">
        <v>45</v>
      </c>
      <c r="B53" s="1">
        <f t="shared" ca="1" si="8"/>
        <v>-0.32435236399999995</v>
      </c>
      <c r="C53" s="1">
        <f t="shared" ca="1" si="9"/>
        <v>0.31096545610000009</v>
      </c>
      <c r="D53" s="1">
        <f t="shared" ca="1" si="10"/>
        <v>-0.123764123324</v>
      </c>
      <c r="E53">
        <f t="shared" ca="1" si="1"/>
        <v>3</v>
      </c>
      <c r="F53">
        <f t="shared" ca="1" si="11"/>
        <v>0.1872013327760001</v>
      </c>
      <c r="G53">
        <f t="shared" ca="1" si="12"/>
        <v>1</v>
      </c>
      <c r="H53" s="2">
        <f t="shared" ca="1" si="13"/>
        <v>0</v>
      </c>
      <c r="I53">
        <f t="shared" ca="1" si="14"/>
        <v>0</v>
      </c>
      <c r="J53">
        <f t="shared" ca="1" si="15"/>
        <v>1</v>
      </c>
      <c r="K53">
        <f t="shared" ca="1" si="16"/>
        <v>1</v>
      </c>
      <c r="L53">
        <f t="shared" ca="1" si="17"/>
        <v>1</v>
      </c>
    </row>
    <row r="54" spans="1:12" x14ac:dyDescent="0.25">
      <c r="A54">
        <v>46</v>
      </c>
      <c r="B54" s="1">
        <f t="shared" ca="1" si="8"/>
        <v>-0.32435236399999995</v>
      </c>
      <c r="C54" s="1">
        <f t="shared" ca="1" si="9"/>
        <v>0.31096545610000009</v>
      </c>
      <c r="D54" s="1">
        <f t="shared" ca="1" si="10"/>
        <v>-0.123764123324</v>
      </c>
      <c r="E54">
        <f t="shared" ca="1" si="1"/>
        <v>3</v>
      </c>
      <c r="F54">
        <f t="shared" ca="1" si="11"/>
        <v>0.1872013327760001</v>
      </c>
      <c r="G54">
        <f t="shared" ca="1" si="12"/>
        <v>1</v>
      </c>
      <c r="H54" s="2">
        <f t="shared" ca="1" si="13"/>
        <v>0</v>
      </c>
      <c r="I54">
        <f t="shared" ca="1" si="14"/>
        <v>0</v>
      </c>
      <c r="J54">
        <f t="shared" ca="1" si="15"/>
        <v>1</v>
      </c>
      <c r="K54">
        <f t="shared" ca="1" si="16"/>
        <v>1</v>
      </c>
      <c r="L54">
        <f t="shared" ca="1" si="17"/>
        <v>1</v>
      </c>
    </row>
    <row r="55" spans="1:12" x14ac:dyDescent="0.25">
      <c r="A55">
        <v>47</v>
      </c>
      <c r="B55" s="1">
        <f t="shared" ca="1" si="8"/>
        <v>-0.32435236399999995</v>
      </c>
      <c r="C55" s="1">
        <f t="shared" ca="1" si="9"/>
        <v>0.31096545610000009</v>
      </c>
      <c r="D55" s="1">
        <f t="shared" ca="1" si="10"/>
        <v>-0.123764123324</v>
      </c>
      <c r="E55">
        <f t="shared" ca="1" si="1"/>
        <v>4</v>
      </c>
      <c r="F55">
        <f t="shared" ca="1" si="11"/>
        <v>-0.44811648732399995</v>
      </c>
      <c r="G55">
        <f t="shared" ca="1" si="12"/>
        <v>0</v>
      </c>
      <c r="H55" s="2">
        <f t="shared" ca="1" si="13"/>
        <v>1</v>
      </c>
      <c r="I55">
        <f t="shared" ca="1" si="14"/>
        <v>1</v>
      </c>
      <c r="J55">
        <f t="shared" ca="1" si="15"/>
        <v>0</v>
      </c>
      <c r="K55">
        <f t="shared" ca="1" si="16"/>
        <v>1</v>
      </c>
      <c r="L55">
        <f t="shared" ca="1" si="17"/>
        <v>1</v>
      </c>
    </row>
    <row r="56" spans="1:12" x14ac:dyDescent="0.25">
      <c r="A56">
        <v>48</v>
      </c>
      <c r="B56" s="1">
        <f t="shared" ca="1" si="8"/>
        <v>-0.12435236399999994</v>
      </c>
      <c r="C56" s="1">
        <f t="shared" ca="1" si="9"/>
        <v>0.31096545610000009</v>
      </c>
      <c r="D56" s="1">
        <f t="shared" ca="1" si="10"/>
        <v>7.6235876676000014E-2</v>
      </c>
      <c r="E56">
        <f t="shared" ca="1" si="1"/>
        <v>4</v>
      </c>
      <c r="F56">
        <f t="shared" ca="1" si="11"/>
        <v>-4.8116487323999924E-2</v>
      </c>
      <c r="G56">
        <f t="shared" ca="1" si="12"/>
        <v>0</v>
      </c>
      <c r="H56" s="2">
        <f t="shared" ca="1" si="13"/>
        <v>1</v>
      </c>
      <c r="I56">
        <f t="shared" ca="1" si="14"/>
        <v>1</v>
      </c>
      <c r="J56">
        <f t="shared" ca="1" si="15"/>
        <v>0</v>
      </c>
      <c r="K56">
        <f t="shared" ca="1" si="16"/>
        <v>1</v>
      </c>
      <c r="L56">
        <f t="shared" ca="1" si="17"/>
        <v>1</v>
      </c>
    </row>
    <row r="57" spans="1:12" x14ac:dyDescent="0.25">
      <c r="A57">
        <v>49</v>
      </c>
      <c r="B57" s="1">
        <f t="shared" ca="1" si="8"/>
        <v>7.5647636000000074E-2</v>
      </c>
      <c r="C57" s="1">
        <f t="shared" ca="1" si="9"/>
        <v>0.31096545610000009</v>
      </c>
      <c r="D57" s="1">
        <f t="shared" ca="1" si="10"/>
        <v>0.27623587667600003</v>
      </c>
      <c r="E57">
        <f t="shared" ca="1" si="1"/>
        <v>3</v>
      </c>
      <c r="F57">
        <f t="shared" ca="1" si="11"/>
        <v>0.58720133277600017</v>
      </c>
      <c r="G57">
        <f t="shared" ca="1" si="12"/>
        <v>1</v>
      </c>
      <c r="H57" s="2">
        <f t="shared" ca="1" si="13"/>
        <v>0</v>
      </c>
      <c r="I57">
        <f t="shared" ca="1" si="14"/>
        <v>0</v>
      </c>
      <c r="J57">
        <f t="shared" ca="1" si="15"/>
        <v>1</v>
      </c>
      <c r="K57">
        <f t="shared" ca="1" si="16"/>
        <v>1</v>
      </c>
      <c r="L57">
        <f t="shared" ca="1" si="17"/>
        <v>1</v>
      </c>
    </row>
    <row r="58" spans="1:12" x14ac:dyDescent="0.25">
      <c r="A58">
        <v>50</v>
      </c>
      <c r="B58" s="1">
        <f t="shared" ca="1" si="8"/>
        <v>7.5647636000000074E-2</v>
      </c>
      <c r="C58" s="1">
        <f t="shared" ca="1" si="9"/>
        <v>0.31096545610000009</v>
      </c>
      <c r="D58" s="1">
        <f t="shared" ca="1" si="10"/>
        <v>0.27623587667600003</v>
      </c>
      <c r="E58">
        <f t="shared" ca="1" si="1"/>
        <v>5</v>
      </c>
      <c r="F58">
        <f t="shared" ca="1" si="11"/>
        <v>0.66284896877600019</v>
      </c>
      <c r="G58">
        <f t="shared" ca="1" si="12"/>
        <v>1</v>
      </c>
      <c r="H58" s="2">
        <f t="shared" ca="1" si="13"/>
        <v>-1</v>
      </c>
      <c r="I58">
        <f t="shared" ca="1" si="14"/>
        <v>1</v>
      </c>
      <c r="J58">
        <f t="shared" ca="1" si="15"/>
        <v>1</v>
      </c>
      <c r="K58">
        <f t="shared" ca="1" si="16"/>
        <v>1</v>
      </c>
      <c r="L58">
        <f t="shared" ca="1" si="17"/>
        <v>0</v>
      </c>
    </row>
    <row r="59" spans="1:12" x14ac:dyDescent="0.25">
      <c r="A59">
        <v>51</v>
      </c>
      <c r="B59" s="1">
        <f t="shared" ca="1" si="8"/>
        <v>-0.12435236399999994</v>
      </c>
      <c r="C59" s="1">
        <f t="shared" ca="1" si="9"/>
        <v>0.11096545610000008</v>
      </c>
      <c r="D59" s="1">
        <f t="shared" ca="1" si="10"/>
        <v>7.6235876676000014E-2</v>
      </c>
      <c r="E59">
        <f t="shared" ca="1" si="1"/>
        <v>2</v>
      </c>
      <c r="F59">
        <f t="shared" ca="1" si="11"/>
        <v>7.6235876676000014E-2</v>
      </c>
      <c r="G59">
        <f t="shared" ca="1" si="12"/>
        <v>1</v>
      </c>
      <c r="H59" s="2">
        <f t="shared" ca="1" si="13"/>
        <v>-1</v>
      </c>
      <c r="I59">
        <f t="shared" ca="1" si="14"/>
        <v>0</v>
      </c>
      <c r="J59">
        <f t="shared" ca="1" si="15"/>
        <v>0</v>
      </c>
      <c r="K59">
        <f t="shared" ca="1" si="16"/>
        <v>1</v>
      </c>
      <c r="L59">
        <f t="shared" ca="1" si="17"/>
        <v>0</v>
      </c>
    </row>
    <row r="60" spans="1:12" x14ac:dyDescent="0.25">
      <c r="A60">
        <v>52</v>
      </c>
      <c r="B60" s="1">
        <f t="shared" ca="1" si="8"/>
        <v>-0.12435236399999994</v>
      </c>
      <c r="C60" s="1">
        <f t="shared" ca="1" si="9"/>
        <v>0.11096545610000008</v>
      </c>
      <c r="D60" s="1">
        <f t="shared" ca="1" si="10"/>
        <v>-0.123764123324</v>
      </c>
      <c r="E60">
        <f t="shared" ca="1" si="1"/>
        <v>3</v>
      </c>
      <c r="F60">
        <f t="shared" ca="1" si="11"/>
        <v>-1.2798667223999916E-2</v>
      </c>
      <c r="G60">
        <f t="shared" ca="1" si="12"/>
        <v>0</v>
      </c>
      <c r="H60" s="2">
        <f t="shared" ca="1" si="13"/>
        <v>1</v>
      </c>
      <c r="I60">
        <f t="shared" ca="1" si="14"/>
        <v>0</v>
      </c>
      <c r="J60">
        <f t="shared" ca="1" si="15"/>
        <v>1</v>
      </c>
      <c r="K60">
        <f t="shared" ca="1" si="16"/>
        <v>1</v>
      </c>
      <c r="L60">
        <f t="shared" ca="1" si="17"/>
        <v>1</v>
      </c>
    </row>
    <row r="61" spans="1:12" x14ac:dyDescent="0.25">
      <c r="A61">
        <v>53</v>
      </c>
      <c r="B61" s="1">
        <f t="shared" ca="1" si="8"/>
        <v>-0.12435236399999994</v>
      </c>
      <c r="C61" s="1">
        <f t="shared" ca="1" si="9"/>
        <v>0.31096545610000009</v>
      </c>
      <c r="D61" s="1">
        <f t="shared" ca="1" si="10"/>
        <v>7.6235876676000014E-2</v>
      </c>
      <c r="E61">
        <f t="shared" ca="1" si="1"/>
        <v>2</v>
      </c>
      <c r="F61">
        <f t="shared" ca="1" si="11"/>
        <v>7.6235876676000014E-2</v>
      </c>
      <c r="G61">
        <f t="shared" ca="1" si="12"/>
        <v>1</v>
      </c>
      <c r="H61" s="2">
        <f t="shared" ca="1" si="13"/>
        <v>-1</v>
      </c>
      <c r="I61">
        <f t="shared" ca="1" si="14"/>
        <v>0</v>
      </c>
      <c r="J61">
        <f t="shared" ca="1" si="15"/>
        <v>0</v>
      </c>
      <c r="K61">
        <f t="shared" ca="1" si="16"/>
        <v>1</v>
      </c>
      <c r="L61">
        <f t="shared" ca="1" si="17"/>
        <v>0</v>
      </c>
    </row>
    <row r="62" spans="1:12" x14ac:dyDescent="0.25">
      <c r="A62">
        <v>54</v>
      </c>
      <c r="B62" s="1">
        <f t="shared" ca="1" si="8"/>
        <v>-0.12435236399999994</v>
      </c>
      <c r="C62" s="1">
        <f t="shared" ca="1" si="9"/>
        <v>0.31096545610000009</v>
      </c>
      <c r="D62" s="1">
        <f t="shared" ca="1" si="10"/>
        <v>-0.123764123324</v>
      </c>
      <c r="E62">
        <f t="shared" ca="1" si="1"/>
        <v>5</v>
      </c>
      <c r="F62">
        <f t="shared" ca="1" si="11"/>
        <v>6.2848968776000158E-2</v>
      </c>
      <c r="G62">
        <f t="shared" ca="1" si="12"/>
        <v>1</v>
      </c>
      <c r="H62" s="2">
        <f t="shared" ca="1" si="13"/>
        <v>-1</v>
      </c>
      <c r="I62">
        <f t="shared" ca="1" si="14"/>
        <v>1</v>
      </c>
      <c r="J62">
        <f t="shared" ca="1" si="15"/>
        <v>1</v>
      </c>
      <c r="K62">
        <f t="shared" ca="1" si="16"/>
        <v>1</v>
      </c>
      <c r="L62">
        <f t="shared" ca="1" si="17"/>
        <v>0</v>
      </c>
    </row>
    <row r="63" spans="1:12" x14ac:dyDescent="0.25">
      <c r="A63">
        <v>55</v>
      </c>
      <c r="B63" s="1">
        <f t="shared" ca="1" si="8"/>
        <v>-0.32435236399999995</v>
      </c>
      <c r="C63" s="1">
        <f t="shared" ca="1" si="9"/>
        <v>0.11096545610000008</v>
      </c>
      <c r="D63" s="1">
        <f t="shared" ca="1" si="10"/>
        <v>-0.32376412332400001</v>
      </c>
      <c r="E63">
        <f t="shared" ca="1" si="1"/>
        <v>3</v>
      </c>
      <c r="F63">
        <f t="shared" ca="1" si="11"/>
        <v>-0.21279866722399993</v>
      </c>
      <c r="G63">
        <f t="shared" ca="1" si="12"/>
        <v>0</v>
      </c>
      <c r="H63" s="2">
        <f t="shared" ca="1" si="13"/>
        <v>1</v>
      </c>
      <c r="I63">
        <f t="shared" ca="1" si="14"/>
        <v>0</v>
      </c>
      <c r="J63">
        <f t="shared" ca="1" si="15"/>
        <v>1</v>
      </c>
      <c r="K63">
        <f t="shared" ca="1" si="16"/>
        <v>1</v>
      </c>
      <c r="L63">
        <f t="shared" ca="1" si="17"/>
        <v>1</v>
      </c>
    </row>
    <row r="64" spans="1:12" x14ac:dyDescent="0.25">
      <c r="A64">
        <v>56</v>
      </c>
      <c r="B64" s="1">
        <f t="shared" ca="1" si="8"/>
        <v>-0.32435236399999995</v>
      </c>
      <c r="C64" s="1">
        <f t="shared" ca="1" si="9"/>
        <v>0.31096545610000009</v>
      </c>
      <c r="D64" s="1">
        <f t="shared" ca="1" si="10"/>
        <v>-0.123764123324</v>
      </c>
      <c r="E64">
        <f t="shared" ca="1" si="1"/>
        <v>5</v>
      </c>
      <c r="F64">
        <f t="shared" ca="1" si="11"/>
        <v>-0.13715103122399985</v>
      </c>
      <c r="G64">
        <f t="shared" ca="1" si="12"/>
        <v>0</v>
      </c>
      <c r="H64" s="2">
        <f t="shared" ca="1" si="13"/>
        <v>0</v>
      </c>
      <c r="I64">
        <f t="shared" ca="1" si="14"/>
        <v>1</v>
      </c>
      <c r="J64">
        <f t="shared" ca="1" si="15"/>
        <v>1</v>
      </c>
      <c r="K64">
        <f t="shared" ca="1" si="16"/>
        <v>1</v>
      </c>
      <c r="L64">
        <f t="shared" ca="1" si="17"/>
        <v>0</v>
      </c>
    </row>
    <row r="65" spans="1:12" x14ac:dyDescent="0.25">
      <c r="A65">
        <v>57</v>
      </c>
      <c r="B65" s="1">
        <f t="shared" ca="1" si="8"/>
        <v>-0.32435236399999995</v>
      </c>
      <c r="C65" s="1">
        <f t="shared" ca="1" si="9"/>
        <v>0.31096545610000009</v>
      </c>
      <c r="D65" s="1">
        <f t="shared" ca="1" si="10"/>
        <v>-0.123764123324</v>
      </c>
      <c r="E65">
        <f t="shared" ca="1" si="1"/>
        <v>4</v>
      </c>
      <c r="F65">
        <f t="shared" ca="1" si="11"/>
        <v>-0.44811648732399995</v>
      </c>
      <c r="G65">
        <f t="shared" ca="1" si="12"/>
        <v>0</v>
      </c>
      <c r="H65" s="2">
        <f t="shared" ca="1" si="13"/>
        <v>1</v>
      </c>
      <c r="I65">
        <f t="shared" ca="1" si="14"/>
        <v>1</v>
      </c>
      <c r="J65">
        <f t="shared" ca="1" si="15"/>
        <v>0</v>
      </c>
      <c r="K65">
        <f t="shared" ca="1" si="16"/>
        <v>1</v>
      </c>
      <c r="L65">
        <f t="shared" ca="1" si="17"/>
        <v>1</v>
      </c>
    </row>
    <row r="66" spans="1:12" x14ac:dyDescent="0.25">
      <c r="A66">
        <v>58</v>
      </c>
      <c r="B66" s="1">
        <f t="shared" ca="1" si="8"/>
        <v>-0.12435236399999994</v>
      </c>
      <c r="C66" s="1">
        <f t="shared" ca="1" si="9"/>
        <v>0.31096545610000009</v>
      </c>
      <c r="D66" s="1">
        <f t="shared" ca="1" si="10"/>
        <v>7.6235876676000014E-2</v>
      </c>
      <c r="E66">
        <f t="shared" ca="1" si="1"/>
        <v>3</v>
      </c>
      <c r="F66">
        <f t="shared" ca="1" si="11"/>
        <v>0.38720133277600011</v>
      </c>
      <c r="G66">
        <f t="shared" ca="1" si="12"/>
        <v>1</v>
      </c>
      <c r="H66" s="2">
        <f t="shared" ca="1" si="13"/>
        <v>0</v>
      </c>
      <c r="I66">
        <f t="shared" ca="1" si="14"/>
        <v>0</v>
      </c>
      <c r="J66">
        <f t="shared" ca="1" si="15"/>
        <v>1</v>
      </c>
      <c r="K66">
        <f t="shared" ca="1" si="16"/>
        <v>1</v>
      </c>
      <c r="L66">
        <f t="shared" ca="1" si="17"/>
        <v>1</v>
      </c>
    </row>
    <row r="67" spans="1:12" x14ac:dyDescent="0.25">
      <c r="A67">
        <v>59</v>
      </c>
      <c r="B67" s="1">
        <f t="shared" ca="1" si="8"/>
        <v>-0.12435236399999994</v>
      </c>
      <c r="C67" s="1">
        <f t="shared" ca="1" si="9"/>
        <v>0.31096545610000009</v>
      </c>
      <c r="D67" s="1">
        <f t="shared" ca="1" si="10"/>
        <v>7.6235876676000014E-2</v>
      </c>
      <c r="E67">
        <f t="shared" ca="1" si="1"/>
        <v>5</v>
      </c>
      <c r="F67">
        <f t="shared" ca="1" si="11"/>
        <v>0.26284896877600017</v>
      </c>
      <c r="G67">
        <f t="shared" ca="1" si="12"/>
        <v>1</v>
      </c>
      <c r="H67" s="2">
        <f t="shared" ca="1" si="13"/>
        <v>-1</v>
      </c>
      <c r="I67">
        <f t="shared" ca="1" si="14"/>
        <v>1</v>
      </c>
      <c r="J67">
        <f t="shared" ca="1" si="15"/>
        <v>1</v>
      </c>
      <c r="K67">
        <f t="shared" ca="1" si="16"/>
        <v>1</v>
      </c>
      <c r="L67">
        <f t="shared" ca="1" si="17"/>
        <v>0</v>
      </c>
    </row>
    <row r="68" spans="1:12" x14ac:dyDescent="0.25">
      <c r="A68">
        <v>60</v>
      </c>
      <c r="B68" s="1">
        <f t="shared" ca="1" si="8"/>
        <v>-0.32435236399999995</v>
      </c>
      <c r="C68" s="1">
        <f t="shared" ca="1" si="9"/>
        <v>0.11096545610000008</v>
      </c>
      <c r="D68" s="1">
        <f t="shared" ca="1" si="10"/>
        <v>-0.123764123324</v>
      </c>
      <c r="E68">
        <f t="shared" ca="1" si="1"/>
        <v>2</v>
      </c>
      <c r="F68">
        <f t="shared" ca="1" si="11"/>
        <v>-0.123764123324</v>
      </c>
      <c r="G68">
        <f t="shared" ca="1" si="12"/>
        <v>0</v>
      </c>
      <c r="H68" s="2">
        <f t="shared" ca="1" si="13"/>
        <v>0</v>
      </c>
      <c r="I68">
        <f t="shared" ca="1" si="14"/>
        <v>0</v>
      </c>
      <c r="J68">
        <f t="shared" ca="1" si="15"/>
        <v>0</v>
      </c>
      <c r="K68">
        <f t="shared" ca="1" si="16"/>
        <v>1</v>
      </c>
      <c r="L68">
        <f t="shared" ca="1" si="17"/>
        <v>0</v>
      </c>
    </row>
    <row r="69" spans="1:12" x14ac:dyDescent="0.25">
      <c r="A69">
        <v>61</v>
      </c>
      <c r="B69" s="1">
        <f t="shared" ca="1" si="8"/>
        <v>-0.32435236399999995</v>
      </c>
      <c r="C69" s="1">
        <f t="shared" ca="1" si="9"/>
        <v>0.11096545610000008</v>
      </c>
      <c r="D69" s="1">
        <f t="shared" ca="1" si="10"/>
        <v>-0.123764123324</v>
      </c>
      <c r="E69">
        <f t="shared" ca="1" si="1"/>
        <v>2</v>
      </c>
      <c r="F69">
        <f t="shared" ca="1" si="11"/>
        <v>-0.123764123324</v>
      </c>
      <c r="G69">
        <f t="shared" ca="1" si="12"/>
        <v>0</v>
      </c>
      <c r="H69" s="2">
        <f t="shared" ca="1" si="13"/>
        <v>0</v>
      </c>
      <c r="I69">
        <f t="shared" ca="1" si="14"/>
        <v>0</v>
      </c>
      <c r="J69">
        <f t="shared" ca="1" si="15"/>
        <v>0</v>
      </c>
      <c r="K69">
        <f t="shared" ca="1" si="16"/>
        <v>1</v>
      </c>
      <c r="L69">
        <f t="shared" ca="1" si="17"/>
        <v>0</v>
      </c>
    </row>
    <row r="70" spans="1:12" x14ac:dyDescent="0.25">
      <c r="A70">
        <v>62</v>
      </c>
      <c r="B70" s="1">
        <f t="shared" ca="1" si="8"/>
        <v>-0.32435236399999995</v>
      </c>
      <c r="C70" s="1">
        <f t="shared" ca="1" si="9"/>
        <v>0.11096545610000008</v>
      </c>
      <c r="D70" s="1">
        <f t="shared" ca="1" si="10"/>
        <v>-0.123764123324</v>
      </c>
      <c r="E70">
        <f t="shared" ca="1" si="1"/>
        <v>4</v>
      </c>
      <c r="F70">
        <f t="shared" ca="1" si="11"/>
        <v>-0.44811648732399995</v>
      </c>
      <c r="G70">
        <f t="shared" ca="1" si="12"/>
        <v>0</v>
      </c>
      <c r="H70" s="2">
        <f t="shared" ca="1" si="13"/>
        <v>1</v>
      </c>
      <c r="I70">
        <f t="shared" ca="1" si="14"/>
        <v>1</v>
      </c>
      <c r="J70">
        <f t="shared" ca="1" si="15"/>
        <v>0</v>
      </c>
      <c r="K70">
        <f t="shared" ca="1" si="16"/>
        <v>1</v>
      </c>
      <c r="L70">
        <f t="shared" ca="1" si="17"/>
        <v>1</v>
      </c>
    </row>
    <row r="71" spans="1:12" x14ac:dyDescent="0.25">
      <c r="A71">
        <v>63</v>
      </c>
      <c r="B71" s="1">
        <f t="shared" ca="1" si="8"/>
        <v>-0.12435236399999994</v>
      </c>
      <c r="C71" s="1">
        <f t="shared" ca="1" si="9"/>
        <v>0.11096545610000008</v>
      </c>
      <c r="D71" s="1">
        <f t="shared" ca="1" si="10"/>
        <v>7.6235876676000014E-2</v>
      </c>
      <c r="E71">
        <f t="shared" ca="1" si="1"/>
        <v>4</v>
      </c>
      <c r="F71">
        <f t="shared" ca="1" si="11"/>
        <v>-4.8116487323999924E-2</v>
      </c>
      <c r="G71">
        <f t="shared" ca="1" si="12"/>
        <v>0</v>
      </c>
      <c r="H71" s="2">
        <f t="shared" ca="1" si="13"/>
        <v>1</v>
      </c>
      <c r="I71">
        <f t="shared" ca="1" si="14"/>
        <v>1</v>
      </c>
      <c r="J71">
        <f t="shared" ca="1" si="15"/>
        <v>0</v>
      </c>
      <c r="K71">
        <f t="shared" ca="1" si="16"/>
        <v>1</v>
      </c>
      <c r="L71">
        <f t="shared" ca="1" si="17"/>
        <v>1</v>
      </c>
    </row>
    <row r="72" spans="1:12" x14ac:dyDescent="0.25">
      <c r="A72">
        <v>64</v>
      </c>
      <c r="B72" s="1">
        <f t="shared" ca="1" si="8"/>
        <v>7.5647636000000074E-2</v>
      </c>
      <c r="C72" s="1">
        <f t="shared" ca="1" si="9"/>
        <v>0.11096545610000008</v>
      </c>
      <c r="D72" s="1">
        <f t="shared" ca="1" si="10"/>
        <v>0.27623587667600003</v>
      </c>
      <c r="E72">
        <f t="shared" ca="1" si="1"/>
        <v>2</v>
      </c>
      <c r="F72">
        <f t="shared" ca="1" si="11"/>
        <v>0.27623587667600003</v>
      </c>
      <c r="G72">
        <f t="shared" ca="1" si="12"/>
        <v>1</v>
      </c>
      <c r="H72" s="2">
        <f t="shared" ca="1" si="13"/>
        <v>-1</v>
      </c>
      <c r="I72">
        <f t="shared" ca="1" si="14"/>
        <v>0</v>
      </c>
      <c r="J72">
        <f t="shared" ca="1" si="15"/>
        <v>0</v>
      </c>
      <c r="K72">
        <f t="shared" ca="1" si="16"/>
        <v>1</v>
      </c>
      <c r="L72">
        <f t="shared" ca="1" si="17"/>
        <v>0</v>
      </c>
    </row>
    <row r="73" spans="1:12" x14ac:dyDescent="0.25">
      <c r="A73">
        <v>65</v>
      </c>
      <c r="B73" s="1">
        <f t="shared" ca="1" si="8"/>
        <v>7.5647636000000074E-2</v>
      </c>
      <c r="C73" s="1">
        <f t="shared" ca="1" si="9"/>
        <v>0.11096545610000008</v>
      </c>
      <c r="D73" s="1">
        <f t="shared" ca="1" si="10"/>
        <v>7.6235876676000014E-2</v>
      </c>
      <c r="E73">
        <f t="shared" ca="1" si="1"/>
        <v>2</v>
      </c>
      <c r="F73">
        <f t="shared" ca="1" si="11"/>
        <v>7.6235876676000014E-2</v>
      </c>
      <c r="G73">
        <f t="shared" ca="1" si="12"/>
        <v>1</v>
      </c>
      <c r="H73" s="2">
        <f t="shared" ca="1" si="13"/>
        <v>-1</v>
      </c>
      <c r="I73">
        <f t="shared" ca="1" si="14"/>
        <v>0</v>
      </c>
      <c r="J73">
        <f t="shared" ca="1" si="15"/>
        <v>0</v>
      </c>
      <c r="K73">
        <f t="shared" ca="1" si="16"/>
        <v>1</v>
      </c>
      <c r="L73">
        <f t="shared" ca="1" si="17"/>
        <v>0</v>
      </c>
    </row>
    <row r="74" spans="1:12" x14ac:dyDescent="0.25">
      <c r="A74">
        <v>66</v>
      </c>
      <c r="B74" s="1">
        <f t="shared" ca="1" si="8"/>
        <v>7.5647636000000074E-2</v>
      </c>
      <c r="C74" s="1">
        <f t="shared" ca="1" si="9"/>
        <v>0.11096545610000008</v>
      </c>
      <c r="D74" s="1">
        <f t="shared" ca="1" si="10"/>
        <v>-0.123764123324</v>
      </c>
      <c r="E74">
        <f t="shared" ref="E74:E108" ca="1" si="18">RANDBETWEEN(2,5)</f>
        <v>2</v>
      </c>
      <c r="F74">
        <f t="shared" ca="1" si="11"/>
        <v>-0.123764123324</v>
      </c>
      <c r="G74">
        <f t="shared" ca="1" si="12"/>
        <v>0</v>
      </c>
      <c r="H74" s="2">
        <f t="shared" ca="1" si="13"/>
        <v>0</v>
      </c>
      <c r="I74">
        <f t="shared" ca="1" si="14"/>
        <v>0</v>
      </c>
      <c r="J74">
        <f t="shared" ca="1" si="15"/>
        <v>0</v>
      </c>
      <c r="K74">
        <f t="shared" ca="1" si="16"/>
        <v>1</v>
      </c>
      <c r="L74">
        <f t="shared" ca="1" si="17"/>
        <v>0</v>
      </c>
    </row>
    <row r="75" spans="1:12" x14ac:dyDescent="0.25">
      <c r="A75">
        <v>67</v>
      </c>
      <c r="B75" s="1">
        <f t="shared" ref="B75:B108" ca="1" si="19">B74+($B$1*$H74*$I74)</f>
        <v>7.5647636000000074E-2</v>
      </c>
      <c r="C75" s="1">
        <f t="shared" ref="C75:C108" ca="1" si="20">C74+($B$1*$H74*$J74)</f>
        <v>0.11096545610000008</v>
      </c>
      <c r="D75" s="1">
        <f t="shared" ref="D75:D108" ca="1" si="21">D74+($B$1*$H74*$K74)</f>
        <v>-0.123764123324</v>
      </c>
      <c r="E75">
        <f t="shared" ca="1" si="18"/>
        <v>3</v>
      </c>
      <c r="F75">
        <f t="shared" ca="1" si="11"/>
        <v>-1.2798667223999916E-2</v>
      </c>
      <c r="G75">
        <f t="shared" ca="1" si="12"/>
        <v>0</v>
      </c>
      <c r="H75" s="2">
        <f t="shared" ca="1" si="13"/>
        <v>1</v>
      </c>
      <c r="I75">
        <f t="shared" ca="1" si="14"/>
        <v>0</v>
      </c>
      <c r="J75">
        <f t="shared" ca="1" si="15"/>
        <v>1</v>
      </c>
      <c r="K75">
        <f t="shared" ca="1" si="16"/>
        <v>1</v>
      </c>
      <c r="L75">
        <f t="shared" ca="1" si="17"/>
        <v>1</v>
      </c>
    </row>
    <row r="76" spans="1:12" x14ac:dyDescent="0.25">
      <c r="A76">
        <v>68</v>
      </c>
      <c r="B76" s="1">
        <f t="shared" ca="1" si="19"/>
        <v>7.5647636000000074E-2</v>
      </c>
      <c r="C76" s="1">
        <f t="shared" ca="1" si="20"/>
        <v>0.31096545610000009</v>
      </c>
      <c r="D76" s="1">
        <f t="shared" ca="1" si="21"/>
        <v>7.6235876676000014E-2</v>
      </c>
      <c r="E76">
        <f t="shared" ca="1" si="18"/>
        <v>2</v>
      </c>
      <c r="F76">
        <f t="shared" ca="1" si="11"/>
        <v>7.6235876676000014E-2</v>
      </c>
      <c r="G76">
        <f t="shared" ca="1" si="12"/>
        <v>1</v>
      </c>
      <c r="H76" s="2">
        <f t="shared" ca="1" si="13"/>
        <v>-1</v>
      </c>
      <c r="I76">
        <f t="shared" ca="1" si="14"/>
        <v>0</v>
      </c>
      <c r="J76">
        <f t="shared" ca="1" si="15"/>
        <v>0</v>
      </c>
      <c r="K76">
        <f t="shared" ca="1" si="16"/>
        <v>1</v>
      </c>
      <c r="L76">
        <f t="shared" ca="1" si="17"/>
        <v>0</v>
      </c>
    </row>
    <row r="77" spans="1:12" x14ac:dyDescent="0.25">
      <c r="A77">
        <v>69</v>
      </c>
      <c r="B77" s="1">
        <f t="shared" ca="1" si="19"/>
        <v>7.5647636000000074E-2</v>
      </c>
      <c r="C77" s="1">
        <f t="shared" ca="1" si="20"/>
        <v>0.31096545610000009</v>
      </c>
      <c r="D77" s="1">
        <f t="shared" ca="1" si="21"/>
        <v>-0.123764123324</v>
      </c>
      <c r="E77">
        <f t="shared" ca="1" si="18"/>
        <v>2</v>
      </c>
      <c r="F77">
        <f t="shared" ca="1" si="11"/>
        <v>-0.123764123324</v>
      </c>
      <c r="G77">
        <f t="shared" ca="1" si="12"/>
        <v>0</v>
      </c>
      <c r="H77" s="2">
        <f t="shared" ca="1" si="13"/>
        <v>0</v>
      </c>
      <c r="I77">
        <f t="shared" ca="1" si="14"/>
        <v>0</v>
      </c>
      <c r="J77">
        <f t="shared" ca="1" si="15"/>
        <v>0</v>
      </c>
      <c r="K77">
        <f t="shared" ca="1" si="16"/>
        <v>1</v>
      </c>
      <c r="L77">
        <f t="shared" ca="1" si="17"/>
        <v>0</v>
      </c>
    </row>
    <row r="78" spans="1:12" x14ac:dyDescent="0.25">
      <c r="A78">
        <v>70</v>
      </c>
      <c r="B78" s="1">
        <f t="shared" ca="1" si="19"/>
        <v>7.5647636000000074E-2</v>
      </c>
      <c r="C78" s="1">
        <f t="shared" ca="1" si="20"/>
        <v>0.31096545610000009</v>
      </c>
      <c r="D78" s="1">
        <f t="shared" ca="1" si="21"/>
        <v>-0.123764123324</v>
      </c>
      <c r="E78">
        <f t="shared" ca="1" si="18"/>
        <v>3</v>
      </c>
      <c r="F78">
        <f t="shared" ca="1" si="11"/>
        <v>0.1872013327760001</v>
      </c>
      <c r="G78">
        <f t="shared" ca="1" si="12"/>
        <v>1</v>
      </c>
      <c r="H78" s="2">
        <f t="shared" ca="1" si="13"/>
        <v>0</v>
      </c>
      <c r="I78">
        <f t="shared" ca="1" si="14"/>
        <v>0</v>
      </c>
      <c r="J78">
        <f t="shared" ca="1" si="15"/>
        <v>1</v>
      </c>
      <c r="K78">
        <f t="shared" ca="1" si="16"/>
        <v>1</v>
      </c>
      <c r="L78">
        <f t="shared" ca="1" si="17"/>
        <v>1</v>
      </c>
    </row>
    <row r="79" spans="1:12" x14ac:dyDescent="0.25">
      <c r="A79">
        <v>71</v>
      </c>
      <c r="B79" s="1">
        <f t="shared" ca="1" si="19"/>
        <v>7.5647636000000074E-2</v>
      </c>
      <c r="C79" s="1">
        <f t="shared" ca="1" si="20"/>
        <v>0.31096545610000009</v>
      </c>
      <c r="D79" s="1">
        <f t="shared" ca="1" si="21"/>
        <v>-0.123764123324</v>
      </c>
      <c r="E79">
        <f t="shared" ca="1" si="18"/>
        <v>4</v>
      </c>
      <c r="F79">
        <f t="shared" ca="1" si="11"/>
        <v>-4.8116487323999924E-2</v>
      </c>
      <c r="G79">
        <f t="shared" ca="1" si="12"/>
        <v>0</v>
      </c>
      <c r="H79" s="2">
        <f t="shared" ca="1" si="13"/>
        <v>1</v>
      </c>
      <c r="I79">
        <f t="shared" ca="1" si="14"/>
        <v>1</v>
      </c>
      <c r="J79">
        <f t="shared" ca="1" si="15"/>
        <v>0</v>
      </c>
      <c r="K79">
        <f t="shared" ca="1" si="16"/>
        <v>1</v>
      </c>
      <c r="L79">
        <f t="shared" ca="1" si="17"/>
        <v>1</v>
      </c>
    </row>
    <row r="80" spans="1:12" x14ac:dyDescent="0.25">
      <c r="A80">
        <v>72</v>
      </c>
      <c r="B80" s="1">
        <f t="shared" ca="1" si="19"/>
        <v>0.27564763600000008</v>
      </c>
      <c r="C80" s="1">
        <f t="shared" ca="1" si="20"/>
        <v>0.31096545610000009</v>
      </c>
      <c r="D80" s="1">
        <f t="shared" ca="1" si="21"/>
        <v>7.6235876676000014E-2</v>
      </c>
      <c r="E80">
        <f t="shared" ca="1" si="18"/>
        <v>5</v>
      </c>
      <c r="F80">
        <f t="shared" ca="1" si="11"/>
        <v>0.66284896877600019</v>
      </c>
      <c r="G80">
        <f t="shared" ca="1" si="12"/>
        <v>1</v>
      </c>
      <c r="H80" s="2">
        <f t="shared" ca="1" si="13"/>
        <v>-1</v>
      </c>
      <c r="I80">
        <f t="shared" ca="1" si="14"/>
        <v>1</v>
      </c>
      <c r="J80">
        <f t="shared" ca="1" si="15"/>
        <v>1</v>
      </c>
      <c r="K80">
        <f t="shared" ca="1" si="16"/>
        <v>1</v>
      </c>
      <c r="L80">
        <f t="shared" ca="1" si="17"/>
        <v>0</v>
      </c>
    </row>
    <row r="81" spans="1:12" x14ac:dyDescent="0.25">
      <c r="A81">
        <v>73</v>
      </c>
      <c r="B81" s="1">
        <f t="shared" ca="1" si="19"/>
        <v>7.5647636000000074E-2</v>
      </c>
      <c r="C81" s="1">
        <f t="shared" ca="1" si="20"/>
        <v>0.11096545610000008</v>
      </c>
      <c r="D81" s="1">
        <f t="shared" ca="1" si="21"/>
        <v>-0.123764123324</v>
      </c>
      <c r="E81">
        <f t="shared" ca="1" si="18"/>
        <v>5</v>
      </c>
      <c r="F81">
        <f t="shared" ca="1" si="11"/>
        <v>6.2848968776000158E-2</v>
      </c>
      <c r="G81">
        <f t="shared" ca="1" si="12"/>
        <v>1</v>
      </c>
      <c r="H81" s="2">
        <f t="shared" ca="1" si="13"/>
        <v>-1</v>
      </c>
      <c r="I81">
        <f t="shared" ca="1" si="14"/>
        <v>1</v>
      </c>
      <c r="J81">
        <f t="shared" ca="1" si="15"/>
        <v>1</v>
      </c>
      <c r="K81">
        <f t="shared" ca="1" si="16"/>
        <v>1</v>
      </c>
      <c r="L81">
        <f t="shared" ca="1" si="17"/>
        <v>0</v>
      </c>
    </row>
    <row r="82" spans="1:12" x14ac:dyDescent="0.25">
      <c r="A82">
        <v>74</v>
      </c>
      <c r="B82" s="1">
        <f t="shared" ca="1" si="19"/>
        <v>-0.12435236399999994</v>
      </c>
      <c r="C82" s="1">
        <f t="shared" ca="1" si="20"/>
        <v>-8.9034543899999929E-2</v>
      </c>
      <c r="D82" s="1">
        <f t="shared" ca="1" si="21"/>
        <v>-0.32376412332400001</v>
      </c>
      <c r="E82">
        <f t="shared" ca="1" si="18"/>
        <v>2</v>
      </c>
      <c r="F82">
        <f t="shared" ca="1" si="11"/>
        <v>-0.32376412332400001</v>
      </c>
      <c r="G82">
        <f t="shared" ca="1" si="12"/>
        <v>0</v>
      </c>
      <c r="H82" s="2">
        <f t="shared" ca="1" si="13"/>
        <v>0</v>
      </c>
      <c r="I82">
        <f t="shared" ca="1" si="14"/>
        <v>0</v>
      </c>
      <c r="J82">
        <f t="shared" ca="1" si="15"/>
        <v>0</v>
      </c>
      <c r="K82">
        <f t="shared" ca="1" si="16"/>
        <v>1</v>
      </c>
      <c r="L82">
        <f t="shared" ca="1" si="17"/>
        <v>0</v>
      </c>
    </row>
    <row r="83" spans="1:12" x14ac:dyDescent="0.25">
      <c r="A83">
        <v>75</v>
      </c>
      <c r="B83" s="1">
        <f t="shared" ca="1" si="19"/>
        <v>-0.12435236399999994</v>
      </c>
      <c r="C83" s="1">
        <f t="shared" ca="1" si="20"/>
        <v>-8.9034543899999929E-2</v>
      </c>
      <c r="D83" s="1">
        <f t="shared" ca="1" si="21"/>
        <v>-0.32376412332400001</v>
      </c>
      <c r="E83">
        <f t="shared" ca="1" si="18"/>
        <v>2</v>
      </c>
      <c r="F83">
        <f t="shared" ca="1" si="11"/>
        <v>-0.32376412332400001</v>
      </c>
      <c r="G83">
        <f t="shared" ca="1" si="12"/>
        <v>0</v>
      </c>
      <c r="H83" s="2">
        <f t="shared" ca="1" si="13"/>
        <v>0</v>
      </c>
      <c r="I83">
        <f t="shared" ca="1" si="14"/>
        <v>0</v>
      </c>
      <c r="J83">
        <f t="shared" ca="1" si="15"/>
        <v>0</v>
      </c>
      <c r="K83">
        <f t="shared" ca="1" si="16"/>
        <v>1</v>
      </c>
      <c r="L83">
        <f t="shared" ca="1" si="17"/>
        <v>0</v>
      </c>
    </row>
    <row r="84" spans="1:12" x14ac:dyDescent="0.25">
      <c r="A84">
        <v>76</v>
      </c>
      <c r="B84" s="1">
        <f t="shared" ca="1" si="19"/>
        <v>-0.12435236399999994</v>
      </c>
      <c r="C84" s="1">
        <f t="shared" ca="1" si="20"/>
        <v>-8.9034543899999929E-2</v>
      </c>
      <c r="D84" s="1">
        <f t="shared" ca="1" si="21"/>
        <v>-0.32376412332400001</v>
      </c>
      <c r="E84">
        <f t="shared" ca="1" si="18"/>
        <v>4</v>
      </c>
      <c r="F84">
        <f t="shared" ca="1" si="11"/>
        <v>-0.44811648732399995</v>
      </c>
      <c r="G84">
        <f t="shared" ca="1" si="12"/>
        <v>0</v>
      </c>
      <c r="H84" s="2">
        <f t="shared" ca="1" si="13"/>
        <v>1</v>
      </c>
      <c r="I84">
        <f t="shared" ca="1" si="14"/>
        <v>1</v>
      </c>
      <c r="J84">
        <f t="shared" ca="1" si="15"/>
        <v>0</v>
      </c>
      <c r="K84">
        <f t="shared" ca="1" si="16"/>
        <v>1</v>
      </c>
      <c r="L84">
        <f t="shared" ca="1" si="17"/>
        <v>1</v>
      </c>
    </row>
    <row r="85" spans="1:12" x14ac:dyDescent="0.25">
      <c r="A85">
        <v>77</v>
      </c>
      <c r="B85" s="1">
        <f t="shared" ca="1" si="19"/>
        <v>7.5647636000000074E-2</v>
      </c>
      <c r="C85" s="1">
        <f t="shared" ca="1" si="20"/>
        <v>-8.9034543899999929E-2</v>
      </c>
      <c r="D85" s="1">
        <f t="shared" ca="1" si="21"/>
        <v>-0.123764123324</v>
      </c>
      <c r="E85">
        <f t="shared" ca="1" si="18"/>
        <v>2</v>
      </c>
      <c r="F85">
        <f t="shared" ca="1" si="11"/>
        <v>-0.123764123324</v>
      </c>
      <c r="G85">
        <f t="shared" ca="1" si="12"/>
        <v>0</v>
      </c>
      <c r="H85" s="2">
        <f t="shared" ca="1" si="13"/>
        <v>0</v>
      </c>
      <c r="I85">
        <f t="shared" ca="1" si="14"/>
        <v>0</v>
      </c>
      <c r="J85">
        <f t="shared" ca="1" si="15"/>
        <v>0</v>
      </c>
      <c r="K85">
        <f t="shared" ca="1" si="16"/>
        <v>1</v>
      </c>
      <c r="L85">
        <f t="shared" ca="1" si="17"/>
        <v>0</v>
      </c>
    </row>
    <row r="86" spans="1:12" x14ac:dyDescent="0.25">
      <c r="A86">
        <v>78</v>
      </c>
      <c r="B86" s="1">
        <f t="shared" ca="1" si="19"/>
        <v>7.5647636000000074E-2</v>
      </c>
      <c r="C86" s="1">
        <f t="shared" ca="1" si="20"/>
        <v>-8.9034543899999929E-2</v>
      </c>
      <c r="D86" s="1">
        <f t="shared" ca="1" si="21"/>
        <v>-0.123764123324</v>
      </c>
      <c r="E86">
        <f t="shared" ca="1" si="18"/>
        <v>2</v>
      </c>
      <c r="F86">
        <f t="shared" ref="F86:F108" ca="1" si="22">(B86*I86)+(C86*J86)+(D86*K86)</f>
        <v>-0.123764123324</v>
      </c>
      <c r="G86">
        <f t="shared" ref="G86:G108" ca="1" si="23">IF($F86&lt;=0,0,1)</f>
        <v>0</v>
      </c>
      <c r="H86" s="2">
        <f t="shared" ref="H86:H108" ca="1" si="24">L86-G86</f>
        <v>0</v>
      </c>
      <c r="I86">
        <f t="shared" ref="I86:I108" ca="1" si="25">VLOOKUP(E86,$A$3:$E$6,2,FALSE)</f>
        <v>0</v>
      </c>
      <c r="J86">
        <f t="shared" ref="J86:J108" ca="1" si="26">VLOOKUP(E86,$A$3:$E$6,3,FALSE)</f>
        <v>0</v>
      </c>
      <c r="K86">
        <f t="shared" ref="K86:K108" ca="1" si="27">VLOOKUP(E86,$A$3:$E$6,4,FALSE)</f>
        <v>1</v>
      </c>
      <c r="L86">
        <f t="shared" ref="L86:L108" ca="1" si="28">VLOOKUP(E86,$A$3:$E$6,5,FALSE)</f>
        <v>0</v>
      </c>
    </row>
    <row r="87" spans="1:12" x14ac:dyDescent="0.25">
      <c r="A87">
        <v>79</v>
      </c>
      <c r="B87" s="1">
        <f t="shared" ca="1" si="19"/>
        <v>7.5647636000000074E-2</v>
      </c>
      <c r="C87" s="1">
        <f t="shared" ca="1" si="20"/>
        <v>-8.9034543899999929E-2</v>
      </c>
      <c r="D87" s="1">
        <f t="shared" ca="1" si="21"/>
        <v>-0.123764123324</v>
      </c>
      <c r="E87">
        <f t="shared" ca="1" si="18"/>
        <v>5</v>
      </c>
      <c r="F87">
        <f t="shared" ca="1" si="22"/>
        <v>-0.13715103122399985</v>
      </c>
      <c r="G87">
        <f t="shared" ca="1" si="23"/>
        <v>0</v>
      </c>
      <c r="H87" s="2">
        <f t="shared" ca="1" si="24"/>
        <v>0</v>
      </c>
      <c r="I87">
        <f t="shared" ca="1" si="25"/>
        <v>1</v>
      </c>
      <c r="J87">
        <f t="shared" ca="1" si="26"/>
        <v>1</v>
      </c>
      <c r="K87">
        <f t="shared" ca="1" si="27"/>
        <v>1</v>
      </c>
      <c r="L87">
        <f t="shared" ca="1" si="28"/>
        <v>0</v>
      </c>
    </row>
    <row r="88" spans="1:12" x14ac:dyDescent="0.25">
      <c r="A88">
        <v>80</v>
      </c>
      <c r="B88" s="1">
        <f t="shared" ca="1" si="19"/>
        <v>7.5647636000000074E-2</v>
      </c>
      <c r="C88" s="1">
        <f t="shared" ca="1" si="20"/>
        <v>-8.9034543899999929E-2</v>
      </c>
      <c r="D88" s="1">
        <f t="shared" ca="1" si="21"/>
        <v>-0.123764123324</v>
      </c>
      <c r="E88">
        <f t="shared" ca="1" si="18"/>
        <v>5</v>
      </c>
      <c r="F88">
        <f t="shared" ca="1" si="22"/>
        <v>-0.13715103122399985</v>
      </c>
      <c r="G88">
        <f t="shared" ca="1" si="23"/>
        <v>0</v>
      </c>
      <c r="H88" s="2">
        <f t="shared" ca="1" si="24"/>
        <v>0</v>
      </c>
      <c r="I88">
        <f t="shared" ca="1" si="25"/>
        <v>1</v>
      </c>
      <c r="J88">
        <f t="shared" ca="1" si="26"/>
        <v>1</v>
      </c>
      <c r="K88">
        <f t="shared" ca="1" si="27"/>
        <v>1</v>
      </c>
      <c r="L88">
        <f t="shared" ca="1" si="28"/>
        <v>0</v>
      </c>
    </row>
    <row r="89" spans="1:12" x14ac:dyDescent="0.25">
      <c r="A89">
        <v>81</v>
      </c>
      <c r="B89" s="1">
        <f t="shared" ca="1" si="19"/>
        <v>7.5647636000000074E-2</v>
      </c>
      <c r="C89" s="1">
        <f t="shared" ca="1" si="20"/>
        <v>-8.9034543899999929E-2</v>
      </c>
      <c r="D89" s="1">
        <f t="shared" ca="1" si="21"/>
        <v>-0.123764123324</v>
      </c>
      <c r="E89">
        <f t="shared" ca="1" si="18"/>
        <v>5</v>
      </c>
      <c r="F89">
        <f t="shared" ca="1" si="22"/>
        <v>-0.13715103122399985</v>
      </c>
      <c r="G89">
        <f t="shared" ca="1" si="23"/>
        <v>0</v>
      </c>
      <c r="H89" s="2">
        <f t="shared" ca="1" si="24"/>
        <v>0</v>
      </c>
      <c r="I89">
        <f t="shared" ca="1" si="25"/>
        <v>1</v>
      </c>
      <c r="J89">
        <f t="shared" ca="1" si="26"/>
        <v>1</v>
      </c>
      <c r="K89">
        <f t="shared" ca="1" si="27"/>
        <v>1</v>
      </c>
      <c r="L89">
        <f t="shared" ca="1" si="28"/>
        <v>0</v>
      </c>
    </row>
    <row r="90" spans="1:12" x14ac:dyDescent="0.25">
      <c r="A90">
        <v>82</v>
      </c>
      <c r="B90" s="1">
        <f t="shared" ca="1" si="19"/>
        <v>7.5647636000000074E-2</v>
      </c>
      <c r="C90" s="1">
        <f t="shared" ca="1" si="20"/>
        <v>-8.9034543899999929E-2</v>
      </c>
      <c r="D90" s="1">
        <f t="shared" ca="1" si="21"/>
        <v>-0.123764123324</v>
      </c>
      <c r="E90">
        <f t="shared" ca="1" si="18"/>
        <v>5</v>
      </c>
      <c r="F90">
        <f t="shared" ca="1" si="22"/>
        <v>-0.13715103122399985</v>
      </c>
      <c r="G90">
        <f t="shared" ca="1" si="23"/>
        <v>0</v>
      </c>
      <c r="H90" s="2">
        <f t="shared" ca="1" si="24"/>
        <v>0</v>
      </c>
      <c r="I90">
        <f t="shared" ca="1" si="25"/>
        <v>1</v>
      </c>
      <c r="J90">
        <f t="shared" ca="1" si="26"/>
        <v>1</v>
      </c>
      <c r="K90">
        <f t="shared" ca="1" si="27"/>
        <v>1</v>
      </c>
      <c r="L90">
        <f t="shared" ca="1" si="28"/>
        <v>0</v>
      </c>
    </row>
    <row r="91" spans="1:12" x14ac:dyDescent="0.25">
      <c r="A91">
        <v>83</v>
      </c>
      <c r="B91" s="1">
        <f t="shared" ca="1" si="19"/>
        <v>7.5647636000000074E-2</v>
      </c>
      <c r="C91" s="1">
        <f t="shared" ca="1" si="20"/>
        <v>-8.9034543899999929E-2</v>
      </c>
      <c r="D91" s="1">
        <f t="shared" ca="1" si="21"/>
        <v>-0.123764123324</v>
      </c>
      <c r="E91">
        <f t="shared" ca="1" si="18"/>
        <v>3</v>
      </c>
      <c r="F91">
        <f t="shared" ca="1" si="22"/>
        <v>-0.21279866722399993</v>
      </c>
      <c r="G91">
        <f t="shared" ca="1" si="23"/>
        <v>0</v>
      </c>
      <c r="H91" s="2">
        <f t="shared" ca="1" si="24"/>
        <v>1</v>
      </c>
      <c r="I91">
        <f t="shared" ca="1" si="25"/>
        <v>0</v>
      </c>
      <c r="J91">
        <f t="shared" ca="1" si="26"/>
        <v>1</v>
      </c>
      <c r="K91">
        <f t="shared" ca="1" si="27"/>
        <v>1</v>
      </c>
      <c r="L91">
        <f t="shared" ca="1" si="28"/>
        <v>1</v>
      </c>
    </row>
    <row r="92" spans="1:12" x14ac:dyDescent="0.25">
      <c r="A92">
        <v>84</v>
      </c>
      <c r="B92" s="1">
        <f t="shared" ca="1" si="19"/>
        <v>7.5647636000000074E-2</v>
      </c>
      <c r="C92" s="1">
        <f t="shared" ca="1" si="20"/>
        <v>0.11096545610000008</v>
      </c>
      <c r="D92" s="1">
        <f t="shared" ca="1" si="21"/>
        <v>7.6235876676000014E-2</v>
      </c>
      <c r="E92">
        <f t="shared" ca="1" si="18"/>
        <v>4</v>
      </c>
      <c r="F92">
        <f t="shared" ca="1" si="22"/>
        <v>0.15188351267600009</v>
      </c>
      <c r="G92">
        <f t="shared" ca="1" si="23"/>
        <v>1</v>
      </c>
      <c r="H92" s="2">
        <f t="shared" ca="1" si="24"/>
        <v>0</v>
      </c>
      <c r="I92">
        <f t="shared" ca="1" si="25"/>
        <v>1</v>
      </c>
      <c r="J92">
        <f t="shared" ca="1" si="26"/>
        <v>0</v>
      </c>
      <c r="K92">
        <f t="shared" ca="1" si="27"/>
        <v>1</v>
      </c>
      <c r="L92">
        <f t="shared" ca="1" si="28"/>
        <v>1</v>
      </c>
    </row>
    <row r="93" spans="1:12" x14ac:dyDescent="0.25">
      <c r="A93">
        <v>85</v>
      </c>
      <c r="B93" s="1">
        <f t="shared" ca="1" si="19"/>
        <v>7.5647636000000074E-2</v>
      </c>
      <c r="C93" s="1">
        <f t="shared" ca="1" si="20"/>
        <v>0.11096545610000008</v>
      </c>
      <c r="D93" s="1">
        <f t="shared" ca="1" si="21"/>
        <v>7.6235876676000014E-2</v>
      </c>
      <c r="E93">
        <f t="shared" ca="1" si="18"/>
        <v>4</v>
      </c>
      <c r="F93">
        <f t="shared" ca="1" si="22"/>
        <v>0.15188351267600009</v>
      </c>
      <c r="G93">
        <f t="shared" ca="1" si="23"/>
        <v>1</v>
      </c>
      <c r="H93" s="2">
        <f t="shared" ca="1" si="24"/>
        <v>0</v>
      </c>
      <c r="I93">
        <f t="shared" ca="1" si="25"/>
        <v>1</v>
      </c>
      <c r="J93">
        <f t="shared" ca="1" si="26"/>
        <v>0</v>
      </c>
      <c r="K93">
        <f t="shared" ca="1" si="27"/>
        <v>1</v>
      </c>
      <c r="L93">
        <f t="shared" ca="1" si="28"/>
        <v>1</v>
      </c>
    </row>
    <row r="94" spans="1:12" x14ac:dyDescent="0.25">
      <c r="A94">
        <v>86</v>
      </c>
      <c r="B94" s="1">
        <f t="shared" ca="1" si="19"/>
        <v>7.5647636000000074E-2</v>
      </c>
      <c r="C94" s="1">
        <f t="shared" ca="1" si="20"/>
        <v>0.11096545610000008</v>
      </c>
      <c r="D94" s="1">
        <f t="shared" ca="1" si="21"/>
        <v>7.6235876676000014E-2</v>
      </c>
      <c r="E94">
        <f t="shared" ca="1" si="18"/>
        <v>4</v>
      </c>
      <c r="F94">
        <f t="shared" ca="1" si="22"/>
        <v>0.15188351267600009</v>
      </c>
      <c r="G94">
        <f t="shared" ca="1" si="23"/>
        <v>1</v>
      </c>
      <c r="H94" s="2">
        <f t="shared" ca="1" si="24"/>
        <v>0</v>
      </c>
      <c r="I94">
        <f t="shared" ca="1" si="25"/>
        <v>1</v>
      </c>
      <c r="J94">
        <f t="shared" ca="1" si="26"/>
        <v>0</v>
      </c>
      <c r="K94">
        <f t="shared" ca="1" si="27"/>
        <v>1</v>
      </c>
      <c r="L94">
        <f t="shared" ca="1" si="28"/>
        <v>1</v>
      </c>
    </row>
    <row r="95" spans="1:12" x14ac:dyDescent="0.25">
      <c r="A95">
        <v>87</v>
      </c>
      <c r="B95" s="1">
        <f t="shared" ca="1" si="19"/>
        <v>7.5647636000000074E-2</v>
      </c>
      <c r="C95" s="1">
        <f t="shared" ca="1" si="20"/>
        <v>0.11096545610000008</v>
      </c>
      <c r="D95" s="1">
        <f t="shared" ca="1" si="21"/>
        <v>7.6235876676000014E-2</v>
      </c>
      <c r="E95">
        <f t="shared" ca="1" si="18"/>
        <v>3</v>
      </c>
      <c r="F95">
        <f t="shared" ca="1" si="22"/>
        <v>0.1872013327760001</v>
      </c>
      <c r="G95">
        <f t="shared" ca="1" si="23"/>
        <v>1</v>
      </c>
      <c r="H95" s="2">
        <f t="shared" ca="1" si="24"/>
        <v>0</v>
      </c>
      <c r="I95">
        <f t="shared" ca="1" si="25"/>
        <v>0</v>
      </c>
      <c r="J95">
        <f t="shared" ca="1" si="26"/>
        <v>1</v>
      </c>
      <c r="K95">
        <f t="shared" ca="1" si="27"/>
        <v>1</v>
      </c>
      <c r="L95">
        <f t="shared" ca="1" si="28"/>
        <v>1</v>
      </c>
    </row>
    <row r="96" spans="1:12" x14ac:dyDescent="0.25">
      <c r="A96">
        <v>88</v>
      </c>
      <c r="B96" s="1">
        <f t="shared" ca="1" si="19"/>
        <v>7.5647636000000074E-2</v>
      </c>
      <c r="C96" s="1">
        <f t="shared" ca="1" si="20"/>
        <v>0.11096545610000008</v>
      </c>
      <c r="D96" s="1">
        <f t="shared" ca="1" si="21"/>
        <v>7.6235876676000014E-2</v>
      </c>
      <c r="E96">
        <f t="shared" ca="1" si="18"/>
        <v>2</v>
      </c>
      <c r="F96">
        <f t="shared" ca="1" si="22"/>
        <v>7.6235876676000014E-2</v>
      </c>
      <c r="G96">
        <f t="shared" ca="1" si="23"/>
        <v>1</v>
      </c>
      <c r="H96" s="2">
        <f t="shared" ca="1" si="24"/>
        <v>-1</v>
      </c>
      <c r="I96">
        <f t="shared" ca="1" si="25"/>
        <v>0</v>
      </c>
      <c r="J96">
        <f t="shared" ca="1" si="26"/>
        <v>0</v>
      </c>
      <c r="K96">
        <f t="shared" ca="1" si="27"/>
        <v>1</v>
      </c>
      <c r="L96">
        <f t="shared" ca="1" si="28"/>
        <v>0</v>
      </c>
    </row>
    <row r="97" spans="1:12" x14ac:dyDescent="0.25">
      <c r="A97">
        <v>89</v>
      </c>
      <c r="B97" s="1">
        <f t="shared" ca="1" si="19"/>
        <v>7.5647636000000074E-2</v>
      </c>
      <c r="C97" s="1">
        <f t="shared" ca="1" si="20"/>
        <v>0.11096545610000008</v>
      </c>
      <c r="D97" s="1">
        <f t="shared" ca="1" si="21"/>
        <v>-0.123764123324</v>
      </c>
      <c r="E97">
        <f t="shared" ca="1" si="18"/>
        <v>5</v>
      </c>
      <c r="F97">
        <f t="shared" ca="1" si="22"/>
        <v>6.2848968776000158E-2</v>
      </c>
      <c r="G97">
        <f t="shared" ca="1" si="23"/>
        <v>1</v>
      </c>
      <c r="H97" s="2">
        <f t="shared" ca="1" si="24"/>
        <v>-1</v>
      </c>
      <c r="I97">
        <f t="shared" ca="1" si="25"/>
        <v>1</v>
      </c>
      <c r="J97">
        <f t="shared" ca="1" si="26"/>
        <v>1</v>
      </c>
      <c r="K97">
        <f t="shared" ca="1" si="27"/>
        <v>1</v>
      </c>
      <c r="L97">
        <f t="shared" ca="1" si="28"/>
        <v>0</v>
      </c>
    </row>
    <row r="98" spans="1:12" x14ac:dyDescent="0.25">
      <c r="A98">
        <v>90</v>
      </c>
      <c r="B98" s="1">
        <f t="shared" ca="1" si="19"/>
        <v>-0.12435236399999994</v>
      </c>
      <c r="C98" s="1">
        <f t="shared" ca="1" si="20"/>
        <v>-8.9034543899999929E-2</v>
      </c>
      <c r="D98" s="1">
        <f t="shared" ca="1" si="21"/>
        <v>-0.32376412332400001</v>
      </c>
      <c r="E98">
        <f t="shared" ca="1" si="18"/>
        <v>4</v>
      </c>
      <c r="F98">
        <f t="shared" ca="1" si="22"/>
        <v>-0.44811648732399995</v>
      </c>
      <c r="G98">
        <f t="shared" ca="1" si="23"/>
        <v>0</v>
      </c>
      <c r="H98" s="2">
        <f t="shared" ca="1" si="24"/>
        <v>1</v>
      </c>
      <c r="I98">
        <f t="shared" ca="1" si="25"/>
        <v>1</v>
      </c>
      <c r="J98">
        <f t="shared" ca="1" si="26"/>
        <v>0</v>
      </c>
      <c r="K98">
        <f t="shared" ca="1" si="27"/>
        <v>1</v>
      </c>
      <c r="L98">
        <f t="shared" ca="1" si="28"/>
        <v>1</v>
      </c>
    </row>
    <row r="99" spans="1:12" x14ac:dyDescent="0.25">
      <c r="A99">
        <v>91</v>
      </c>
      <c r="B99" s="1">
        <f t="shared" ca="1" si="19"/>
        <v>7.5647636000000074E-2</v>
      </c>
      <c r="C99" s="1">
        <f t="shared" ca="1" si="20"/>
        <v>-8.9034543899999929E-2</v>
      </c>
      <c r="D99" s="1">
        <f t="shared" ca="1" si="21"/>
        <v>-0.123764123324</v>
      </c>
      <c r="E99">
        <f t="shared" ca="1" si="18"/>
        <v>4</v>
      </c>
      <c r="F99">
        <f t="shared" ca="1" si="22"/>
        <v>-4.8116487323999924E-2</v>
      </c>
      <c r="G99">
        <f t="shared" ca="1" si="23"/>
        <v>0</v>
      </c>
      <c r="H99" s="2">
        <f t="shared" ca="1" si="24"/>
        <v>1</v>
      </c>
      <c r="I99">
        <f t="shared" ca="1" si="25"/>
        <v>1</v>
      </c>
      <c r="J99">
        <f t="shared" ca="1" si="26"/>
        <v>0</v>
      </c>
      <c r="K99">
        <f t="shared" ca="1" si="27"/>
        <v>1</v>
      </c>
      <c r="L99">
        <f t="shared" ca="1" si="28"/>
        <v>1</v>
      </c>
    </row>
    <row r="100" spans="1:12" x14ac:dyDescent="0.25">
      <c r="A100">
        <v>92</v>
      </c>
      <c r="B100" s="1">
        <f t="shared" ca="1" si="19"/>
        <v>0.27564763600000008</v>
      </c>
      <c r="C100" s="1">
        <f t="shared" ca="1" si="20"/>
        <v>-8.9034543899999929E-2</v>
      </c>
      <c r="D100" s="1">
        <f t="shared" ca="1" si="21"/>
        <v>7.6235876676000014E-2</v>
      </c>
      <c r="E100">
        <f t="shared" ca="1" si="18"/>
        <v>2</v>
      </c>
      <c r="F100">
        <f t="shared" ca="1" si="22"/>
        <v>7.6235876676000014E-2</v>
      </c>
      <c r="G100">
        <f t="shared" ca="1" si="23"/>
        <v>1</v>
      </c>
      <c r="H100" s="2">
        <f t="shared" ca="1" si="24"/>
        <v>-1</v>
      </c>
      <c r="I100">
        <f t="shared" ca="1" si="25"/>
        <v>0</v>
      </c>
      <c r="J100">
        <f t="shared" ca="1" si="26"/>
        <v>0</v>
      </c>
      <c r="K100">
        <f t="shared" ca="1" si="27"/>
        <v>1</v>
      </c>
      <c r="L100">
        <f t="shared" ca="1" si="28"/>
        <v>0</v>
      </c>
    </row>
    <row r="101" spans="1:12" x14ac:dyDescent="0.25">
      <c r="A101">
        <v>93</v>
      </c>
      <c r="B101" s="1">
        <f t="shared" ca="1" si="19"/>
        <v>0.27564763600000008</v>
      </c>
      <c r="C101" s="1">
        <f t="shared" ca="1" si="20"/>
        <v>-8.9034543899999929E-2</v>
      </c>
      <c r="D101" s="1">
        <f t="shared" ca="1" si="21"/>
        <v>-0.123764123324</v>
      </c>
      <c r="E101">
        <f t="shared" ca="1" si="18"/>
        <v>5</v>
      </c>
      <c r="F101">
        <f t="shared" ca="1" si="22"/>
        <v>6.2848968776000158E-2</v>
      </c>
      <c r="G101">
        <f t="shared" ca="1" si="23"/>
        <v>1</v>
      </c>
      <c r="H101" s="2">
        <f t="shared" ca="1" si="24"/>
        <v>-1</v>
      </c>
      <c r="I101">
        <f t="shared" ca="1" si="25"/>
        <v>1</v>
      </c>
      <c r="J101">
        <f t="shared" ca="1" si="26"/>
        <v>1</v>
      </c>
      <c r="K101">
        <f t="shared" ca="1" si="27"/>
        <v>1</v>
      </c>
      <c r="L101">
        <f t="shared" ca="1" si="28"/>
        <v>0</v>
      </c>
    </row>
    <row r="102" spans="1:12" x14ac:dyDescent="0.25">
      <c r="A102">
        <v>94</v>
      </c>
      <c r="B102" s="1">
        <f t="shared" ca="1" si="19"/>
        <v>7.5647636000000074E-2</v>
      </c>
      <c r="C102" s="1">
        <f t="shared" ca="1" si="20"/>
        <v>-0.28903454389999994</v>
      </c>
      <c r="D102" s="1">
        <f t="shared" ca="1" si="21"/>
        <v>-0.32376412332400001</v>
      </c>
      <c r="E102">
        <f t="shared" ca="1" si="18"/>
        <v>3</v>
      </c>
      <c r="F102">
        <f t="shared" ca="1" si="22"/>
        <v>-0.612798667224</v>
      </c>
      <c r="G102">
        <f t="shared" ca="1" si="23"/>
        <v>0</v>
      </c>
      <c r="H102" s="2">
        <f t="shared" ca="1" si="24"/>
        <v>1</v>
      </c>
      <c r="I102">
        <f t="shared" ca="1" si="25"/>
        <v>0</v>
      </c>
      <c r="J102">
        <f t="shared" ca="1" si="26"/>
        <v>1</v>
      </c>
      <c r="K102">
        <f t="shared" ca="1" si="27"/>
        <v>1</v>
      </c>
      <c r="L102">
        <f t="shared" ca="1" si="28"/>
        <v>1</v>
      </c>
    </row>
    <row r="103" spans="1:12" x14ac:dyDescent="0.25">
      <c r="A103">
        <v>95</v>
      </c>
      <c r="B103" s="1">
        <f t="shared" ca="1" si="19"/>
        <v>7.5647636000000074E-2</v>
      </c>
      <c r="C103" s="1">
        <f t="shared" ca="1" si="20"/>
        <v>-8.9034543899999929E-2</v>
      </c>
      <c r="D103" s="1">
        <f t="shared" ca="1" si="21"/>
        <v>-0.123764123324</v>
      </c>
      <c r="E103">
        <f t="shared" ca="1" si="18"/>
        <v>5</v>
      </c>
      <c r="F103">
        <f t="shared" ca="1" si="22"/>
        <v>-0.13715103122399985</v>
      </c>
      <c r="G103">
        <f t="shared" ca="1" si="23"/>
        <v>0</v>
      </c>
      <c r="H103" s="2">
        <f t="shared" ca="1" si="24"/>
        <v>0</v>
      </c>
      <c r="I103">
        <f t="shared" ca="1" si="25"/>
        <v>1</v>
      </c>
      <c r="J103">
        <f t="shared" ca="1" si="26"/>
        <v>1</v>
      </c>
      <c r="K103">
        <f t="shared" ca="1" si="27"/>
        <v>1</v>
      </c>
      <c r="L103">
        <f t="shared" ca="1" si="28"/>
        <v>0</v>
      </c>
    </row>
    <row r="104" spans="1:12" x14ac:dyDescent="0.25">
      <c r="A104">
        <v>96</v>
      </c>
      <c r="B104" s="1">
        <f t="shared" ca="1" si="19"/>
        <v>7.5647636000000074E-2</v>
      </c>
      <c r="C104" s="1">
        <f t="shared" ca="1" si="20"/>
        <v>-8.9034543899999929E-2</v>
      </c>
      <c r="D104" s="1">
        <f t="shared" ca="1" si="21"/>
        <v>-0.123764123324</v>
      </c>
      <c r="E104">
        <f t="shared" ca="1" si="18"/>
        <v>2</v>
      </c>
      <c r="F104">
        <f t="shared" ca="1" si="22"/>
        <v>-0.123764123324</v>
      </c>
      <c r="G104">
        <f t="shared" ca="1" si="23"/>
        <v>0</v>
      </c>
      <c r="H104" s="2">
        <f t="shared" ca="1" si="24"/>
        <v>0</v>
      </c>
      <c r="I104">
        <f t="shared" ca="1" si="25"/>
        <v>0</v>
      </c>
      <c r="J104">
        <f t="shared" ca="1" si="26"/>
        <v>0</v>
      </c>
      <c r="K104">
        <f t="shared" ca="1" si="27"/>
        <v>1</v>
      </c>
      <c r="L104">
        <f t="shared" ca="1" si="28"/>
        <v>0</v>
      </c>
    </row>
    <row r="105" spans="1:12" x14ac:dyDescent="0.25">
      <c r="A105">
        <v>97</v>
      </c>
      <c r="B105" s="1">
        <f t="shared" ca="1" si="19"/>
        <v>7.5647636000000074E-2</v>
      </c>
      <c r="C105" s="1">
        <f t="shared" ca="1" si="20"/>
        <v>-8.9034543899999929E-2</v>
      </c>
      <c r="D105" s="1">
        <f t="shared" ca="1" si="21"/>
        <v>-0.123764123324</v>
      </c>
      <c r="E105">
        <f t="shared" ca="1" si="18"/>
        <v>3</v>
      </c>
      <c r="F105">
        <f t="shared" ca="1" si="22"/>
        <v>-0.21279866722399993</v>
      </c>
      <c r="G105">
        <f t="shared" ca="1" si="23"/>
        <v>0</v>
      </c>
      <c r="H105" s="2">
        <f t="shared" ca="1" si="24"/>
        <v>1</v>
      </c>
      <c r="I105">
        <f t="shared" ca="1" si="25"/>
        <v>0</v>
      </c>
      <c r="J105">
        <f t="shared" ca="1" si="26"/>
        <v>1</v>
      </c>
      <c r="K105">
        <f t="shared" ca="1" si="27"/>
        <v>1</v>
      </c>
      <c r="L105">
        <f t="shared" ca="1" si="28"/>
        <v>1</v>
      </c>
    </row>
    <row r="106" spans="1:12" x14ac:dyDescent="0.25">
      <c r="A106">
        <v>98</v>
      </c>
      <c r="B106" s="1">
        <f t="shared" ca="1" si="19"/>
        <v>7.5647636000000074E-2</v>
      </c>
      <c r="C106" s="1">
        <f t="shared" ca="1" si="20"/>
        <v>0.11096545610000008</v>
      </c>
      <c r="D106" s="1">
        <f t="shared" ca="1" si="21"/>
        <v>7.6235876676000014E-2</v>
      </c>
      <c r="E106">
        <f t="shared" ca="1" si="18"/>
        <v>4</v>
      </c>
      <c r="F106">
        <f t="shared" ca="1" si="22"/>
        <v>0.15188351267600009</v>
      </c>
      <c r="G106">
        <f t="shared" ca="1" si="23"/>
        <v>1</v>
      </c>
      <c r="H106" s="2">
        <f t="shared" ca="1" si="24"/>
        <v>0</v>
      </c>
      <c r="I106">
        <f t="shared" ca="1" si="25"/>
        <v>1</v>
      </c>
      <c r="J106">
        <f t="shared" ca="1" si="26"/>
        <v>0</v>
      </c>
      <c r="K106">
        <f t="shared" ca="1" si="27"/>
        <v>1</v>
      </c>
      <c r="L106">
        <f t="shared" ca="1" si="28"/>
        <v>1</v>
      </c>
    </row>
    <row r="107" spans="1:12" x14ac:dyDescent="0.25">
      <c r="A107">
        <v>99</v>
      </c>
      <c r="B107" s="1">
        <f t="shared" ca="1" si="19"/>
        <v>7.5647636000000074E-2</v>
      </c>
      <c r="C107" s="1">
        <f t="shared" ca="1" si="20"/>
        <v>0.11096545610000008</v>
      </c>
      <c r="D107" s="1">
        <f t="shared" ca="1" si="21"/>
        <v>7.6235876676000014E-2</v>
      </c>
      <c r="E107">
        <f t="shared" ca="1" si="18"/>
        <v>4</v>
      </c>
      <c r="F107">
        <f t="shared" ca="1" si="22"/>
        <v>0.15188351267600009</v>
      </c>
      <c r="G107">
        <f t="shared" ca="1" si="23"/>
        <v>1</v>
      </c>
      <c r="H107" s="2">
        <f t="shared" ca="1" si="24"/>
        <v>0</v>
      </c>
      <c r="I107">
        <f t="shared" ca="1" si="25"/>
        <v>1</v>
      </c>
      <c r="J107">
        <f t="shared" ca="1" si="26"/>
        <v>0</v>
      </c>
      <c r="K107">
        <f t="shared" ca="1" si="27"/>
        <v>1</v>
      </c>
      <c r="L107">
        <f t="shared" ca="1" si="28"/>
        <v>1</v>
      </c>
    </row>
    <row r="108" spans="1:12" x14ac:dyDescent="0.25">
      <c r="A108">
        <v>100</v>
      </c>
      <c r="B108" s="1">
        <f t="shared" ca="1" si="19"/>
        <v>7.5647636000000074E-2</v>
      </c>
      <c r="C108" s="1">
        <f t="shared" ca="1" si="20"/>
        <v>0.11096545610000008</v>
      </c>
      <c r="D108" s="1">
        <f t="shared" ca="1" si="21"/>
        <v>7.6235876676000014E-2</v>
      </c>
      <c r="E108">
        <f t="shared" ca="1" si="18"/>
        <v>4</v>
      </c>
      <c r="F108">
        <f t="shared" ca="1" si="22"/>
        <v>0.15188351267600009</v>
      </c>
      <c r="G108">
        <f t="shared" ca="1" si="23"/>
        <v>1</v>
      </c>
      <c r="H108" s="2">
        <f t="shared" ca="1" si="24"/>
        <v>0</v>
      </c>
      <c r="I108">
        <f t="shared" ca="1" si="25"/>
        <v>1</v>
      </c>
      <c r="J108">
        <f t="shared" ca="1" si="26"/>
        <v>0</v>
      </c>
      <c r="K108">
        <f t="shared" ca="1" si="27"/>
        <v>1</v>
      </c>
      <c r="L108">
        <f t="shared" ca="1" si="28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52"/>
  <sheetViews>
    <sheetView tabSelected="1" zoomScale="63" workbookViewId="0">
      <selection activeCell="A10" sqref="A10:A108"/>
    </sheetView>
  </sheetViews>
  <sheetFormatPr defaultRowHeight="15" x14ac:dyDescent="0.25"/>
  <cols>
    <col min="1" max="1" width="12.5703125" customWidth="1"/>
    <col min="2" max="2" width="10.28515625" customWidth="1"/>
    <col min="3" max="4" width="12.140625" customWidth="1"/>
    <col min="6" max="6" width="12.140625" customWidth="1"/>
    <col min="7" max="7" width="10.28515625" customWidth="1"/>
    <col min="8" max="8" width="9.140625" style="3"/>
    <col min="9" max="9" width="11" customWidth="1"/>
    <col min="10" max="10" width="11.5703125" customWidth="1"/>
    <col min="15" max="15" width="10.140625" customWidth="1"/>
    <col min="34" max="37" width="9.140625" style="2"/>
  </cols>
  <sheetData>
    <row r="1" spans="1:58" x14ac:dyDescent="0.25">
      <c r="A1" t="s">
        <v>0</v>
      </c>
      <c r="B1">
        <v>0.2</v>
      </c>
      <c r="D1" t="s">
        <v>15</v>
      </c>
      <c r="E1">
        <v>1</v>
      </c>
      <c r="AH1" s="3"/>
      <c r="AI1" s="3"/>
      <c r="AJ1" s="9"/>
      <c r="AK1" s="9"/>
      <c r="AL1" s="9" t="s">
        <v>54</v>
      </c>
      <c r="AM1" s="9"/>
      <c r="AN1" s="9" t="s">
        <v>52</v>
      </c>
      <c r="AO1" s="9"/>
      <c r="AP1" s="9"/>
      <c r="AQ1" s="9"/>
      <c r="AR1" s="9"/>
      <c r="AS1" s="9"/>
      <c r="AT1" s="9"/>
      <c r="AU1" s="9" t="s">
        <v>53</v>
      </c>
      <c r="AV1" s="9" t="s">
        <v>55</v>
      </c>
      <c r="AW1" s="9" t="s">
        <v>56</v>
      </c>
      <c r="AX1" s="9" t="s">
        <v>57</v>
      </c>
      <c r="AY1" s="9"/>
      <c r="AZ1" s="9"/>
      <c r="BA1" s="9"/>
      <c r="BB1" s="9"/>
      <c r="BC1" s="9"/>
      <c r="BD1" s="3"/>
      <c r="BE1" s="3"/>
      <c r="BF1" s="3"/>
    </row>
    <row r="2" spans="1:58" x14ac:dyDescent="0.25">
      <c r="A2" t="s">
        <v>10</v>
      </c>
      <c r="B2" t="s">
        <v>1</v>
      </c>
      <c r="C2" t="s">
        <v>2</v>
      </c>
      <c r="D2" t="s">
        <v>3</v>
      </c>
      <c r="E2" t="s">
        <v>4</v>
      </c>
      <c r="AH2" s="3"/>
      <c r="AI2" s="3"/>
      <c r="AJ2" s="9">
        <f>N9</f>
        <v>0</v>
      </c>
      <c r="AK2" s="9">
        <f>N9</f>
        <v>0</v>
      </c>
      <c r="AL2" s="9">
        <f>AH9*(1-AH9)</f>
        <v>0</v>
      </c>
      <c r="AM2" s="9">
        <f>(E3-AH9)</f>
        <v>0</v>
      </c>
      <c r="AN2" s="9">
        <f>2*(E3-AH9)</f>
        <v>0</v>
      </c>
      <c r="AO2" s="9">
        <f>(AH9*(1-AH9))*(2*(E3-AH9))</f>
        <v>0</v>
      </c>
      <c r="AP2" s="9">
        <f>((AH9*(1-AH9))*(2*(E3-AH9)))*AD9</f>
        <v>0</v>
      </c>
      <c r="AQ2" s="9">
        <f>((AI9*(1-AI9))*(2*(E4-AI9)))*$AD$9</f>
        <v>0</v>
      </c>
      <c r="AR2" s="9">
        <f>$AO$4*$AD$9</f>
        <v>0</v>
      </c>
      <c r="AS2" s="9">
        <f>$AO$5*$AD$9</f>
        <v>0</v>
      </c>
      <c r="AT2" s="9"/>
      <c r="AU2" s="9">
        <f>N9*(1-N9)</f>
        <v>0</v>
      </c>
      <c r="AV2" s="9">
        <f>R9*(1-R9)</f>
        <v>0</v>
      </c>
      <c r="AW2" s="9">
        <f>V9*(1-V9)</f>
        <v>0</v>
      </c>
      <c r="AX2" s="9">
        <f>Z9*(1-Z9)</f>
        <v>0</v>
      </c>
      <c r="AY2" s="9"/>
      <c r="AZ2" s="9">
        <f>(((AH9*(1-AH9))*(2*($E$3-AH9)))*AD9)*(N9*(1-N9))</f>
        <v>0</v>
      </c>
      <c r="BA2" s="9">
        <f>(((AI9*(1-AI9))*(2*(E4-AI9)))*AD9)*(R9*(1-R9))</f>
        <v>0</v>
      </c>
      <c r="BB2" s="9">
        <f t="shared" ref="BB2:BC2" si="0">AR2*AW2</f>
        <v>0</v>
      </c>
      <c r="BC2" s="9">
        <f t="shared" si="0"/>
        <v>0</v>
      </c>
      <c r="BD2" s="3"/>
      <c r="BE2" s="3"/>
      <c r="BF2" s="3"/>
    </row>
    <row r="3" spans="1:58" x14ac:dyDescent="0.25">
      <c r="A3">
        <v>2</v>
      </c>
      <c r="B3">
        <v>0</v>
      </c>
      <c r="C3">
        <v>0</v>
      </c>
      <c r="D3">
        <f>E1</f>
        <v>1</v>
      </c>
      <c r="E3">
        <v>0</v>
      </c>
      <c r="AH3" s="3"/>
      <c r="AI3" s="3"/>
      <c r="AJ3" s="9">
        <f>O9</f>
        <v>0</v>
      </c>
      <c r="AK3" s="9">
        <f>R9</f>
        <v>0</v>
      </c>
      <c r="AL3" s="9">
        <f>AI9*(1-AI9)</f>
        <v>0</v>
      </c>
      <c r="AM3" s="9">
        <f>(E4-AI9)</f>
        <v>1</v>
      </c>
      <c r="AN3" s="9">
        <f>2*(E4-AI9)</f>
        <v>2</v>
      </c>
      <c r="AO3" s="9">
        <f t="shared" ref="AO3:AO5" si="1">AL3*AN3</f>
        <v>0</v>
      </c>
      <c r="AP3" s="9">
        <f>$AO$2*$AE$9</f>
        <v>0</v>
      </c>
      <c r="AQ3" s="9">
        <f>$AO$3*$AE$9</f>
        <v>0</v>
      </c>
      <c r="AR3" s="9">
        <f>$AO$4*$AE$9</f>
        <v>0</v>
      </c>
      <c r="AS3" s="9">
        <f>$AO$5*$AE$9</f>
        <v>0</v>
      </c>
      <c r="AT3" s="9"/>
      <c r="AU3" s="9">
        <f>O9*(1-O9)</f>
        <v>0</v>
      </c>
      <c r="AV3" s="9">
        <f>S9*(1-S9)</f>
        <v>0</v>
      </c>
      <c r="AW3" s="9">
        <f>W9*(1-W9)</f>
        <v>0</v>
      </c>
      <c r="AX3" s="9">
        <f>AA9*(1-AA9)</f>
        <v>0</v>
      </c>
      <c r="AY3" s="9"/>
      <c r="AZ3" s="9">
        <f t="shared" ref="AZ3:AZ5" si="2">AP3*AU3</f>
        <v>0</v>
      </c>
      <c r="BA3" s="9">
        <f t="shared" ref="BA3:BA5" si="3">AQ3*AV3</f>
        <v>0</v>
      </c>
      <c r="BB3" s="9">
        <f t="shared" ref="BB3:BB5" si="4">AR3*AW3</f>
        <v>0</v>
      </c>
      <c r="BC3" s="9">
        <f t="shared" ref="BC3:BC5" si="5">AS3*AX3</f>
        <v>0</v>
      </c>
      <c r="BD3" s="3"/>
      <c r="BE3" s="3"/>
      <c r="BF3" s="3"/>
    </row>
    <row r="4" spans="1:58" x14ac:dyDescent="0.25">
      <c r="A4">
        <v>3</v>
      </c>
      <c r="B4">
        <v>0</v>
      </c>
      <c r="C4">
        <v>1</v>
      </c>
      <c r="D4">
        <f>E1</f>
        <v>1</v>
      </c>
      <c r="E4">
        <v>1</v>
      </c>
      <c r="AH4" s="3"/>
      <c r="AI4" s="3"/>
      <c r="AJ4" s="9">
        <f>P9</f>
        <v>0</v>
      </c>
      <c r="AK4" s="9">
        <f>V9</f>
        <v>0</v>
      </c>
      <c r="AL4" s="9">
        <f>AJ9*(1-AJ9)</f>
        <v>0</v>
      </c>
      <c r="AM4" s="9">
        <f>(E5-AJ9)</f>
        <v>1</v>
      </c>
      <c r="AN4" s="9">
        <f>2*(E5-AJ9)</f>
        <v>2</v>
      </c>
      <c r="AO4" s="9">
        <f t="shared" si="1"/>
        <v>0</v>
      </c>
      <c r="AP4" s="9">
        <f>$AO$2*$AF$9</f>
        <v>0</v>
      </c>
      <c r="AQ4" s="9">
        <f>$AO$3*$AF$9</f>
        <v>0</v>
      </c>
      <c r="AR4" s="9">
        <f>$AO$4*$AF$9</f>
        <v>0</v>
      </c>
      <c r="AS4" s="9">
        <f>$AO$5*$AF$9</f>
        <v>0</v>
      </c>
      <c r="AT4" s="9"/>
      <c r="AU4" s="9">
        <f>P9*(1-P9)</f>
        <v>0</v>
      </c>
      <c r="AV4" s="9">
        <f>T9*(1-T9)</f>
        <v>0</v>
      </c>
      <c r="AW4" s="9">
        <f>X9*(1-X9)</f>
        <v>0</v>
      </c>
      <c r="AX4" s="9">
        <f>AB9*(1-AB9)</f>
        <v>0</v>
      </c>
      <c r="AY4" s="9"/>
      <c r="AZ4" s="9">
        <f t="shared" si="2"/>
        <v>0</v>
      </c>
      <c r="BA4" s="9">
        <f t="shared" si="3"/>
        <v>0</v>
      </c>
      <c r="BB4" s="9">
        <f t="shared" si="4"/>
        <v>0</v>
      </c>
      <c r="BC4" s="9">
        <f t="shared" si="5"/>
        <v>0</v>
      </c>
      <c r="BD4" s="3"/>
      <c r="BE4" s="3"/>
      <c r="BF4" s="3"/>
    </row>
    <row r="5" spans="1:58" x14ac:dyDescent="0.25">
      <c r="A5">
        <v>4</v>
      </c>
      <c r="B5">
        <v>1</v>
      </c>
      <c r="C5">
        <v>0</v>
      </c>
      <c r="D5">
        <f>E1</f>
        <v>1</v>
      </c>
      <c r="E5">
        <v>1</v>
      </c>
      <c r="AH5" s="3"/>
      <c r="AI5" s="3"/>
      <c r="AJ5" s="9">
        <f>Q9</f>
        <v>0</v>
      </c>
      <c r="AK5" s="9">
        <f>Z9</f>
        <v>0</v>
      </c>
      <c r="AL5" s="9">
        <f>AK9*(1-AK9)</f>
        <v>0</v>
      </c>
      <c r="AM5" s="9">
        <f>(E6-AK9)</f>
        <v>0</v>
      </c>
      <c r="AN5" s="9">
        <f>2*(E6-AK9)</f>
        <v>0</v>
      </c>
      <c r="AO5" s="9">
        <f t="shared" si="1"/>
        <v>0</v>
      </c>
      <c r="AP5" s="9">
        <f>$AO$2*$AG$9</f>
        <v>0</v>
      </c>
      <c r="AQ5" s="9">
        <f>$AO$3*$AG$9</f>
        <v>0</v>
      </c>
      <c r="AR5" s="9">
        <f>$AO$4*$AG$9</f>
        <v>0</v>
      </c>
      <c r="AS5" s="9">
        <f>$AO$5*$AG$9</f>
        <v>0</v>
      </c>
      <c r="AT5" s="9"/>
      <c r="AU5" s="9">
        <f>Q9*(1-Q9)</f>
        <v>0</v>
      </c>
      <c r="AV5" s="9">
        <f>U9*(1-U9)</f>
        <v>0</v>
      </c>
      <c r="AW5" s="9">
        <f>Y9*(1-Y9)</f>
        <v>0</v>
      </c>
      <c r="AX5" s="9">
        <f>AC9*(1-AC9)</f>
        <v>0</v>
      </c>
      <c r="AY5" s="9"/>
      <c r="AZ5" s="9">
        <f t="shared" si="2"/>
        <v>0</v>
      </c>
      <c r="BA5" s="9">
        <f t="shared" si="3"/>
        <v>0</v>
      </c>
      <c r="BB5" s="9">
        <f t="shared" si="4"/>
        <v>0</v>
      </c>
      <c r="BC5" s="9">
        <f t="shared" si="5"/>
        <v>0</v>
      </c>
      <c r="BD5" s="3"/>
      <c r="BE5" s="3"/>
      <c r="BF5" s="3"/>
    </row>
    <row r="6" spans="1:58" x14ac:dyDescent="0.25">
      <c r="A6">
        <v>5</v>
      </c>
      <c r="B6">
        <v>1</v>
      </c>
      <c r="C6">
        <v>1</v>
      </c>
      <c r="D6">
        <f>E1</f>
        <v>1</v>
      </c>
      <c r="E6">
        <v>0</v>
      </c>
      <c r="AH6" s="3"/>
      <c r="AI6" s="3"/>
      <c r="AJ6" s="3"/>
      <c r="AK6" s="3"/>
    </row>
    <row r="7" spans="1:58" x14ac:dyDescent="0.25">
      <c r="AH7" s="3"/>
      <c r="AI7" s="3"/>
      <c r="AJ7" s="3"/>
      <c r="AK7" s="3"/>
    </row>
    <row r="8" spans="1:58" x14ac:dyDescent="0.25">
      <c r="A8" t="s">
        <v>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s="3" t="s">
        <v>22</v>
      </c>
      <c r="I8" s="3" t="s">
        <v>23</v>
      </c>
      <c r="J8" s="3" t="s">
        <v>24</v>
      </c>
      <c r="K8" s="3" t="s">
        <v>25</v>
      </c>
      <c r="L8" s="3" t="s">
        <v>26</v>
      </c>
      <c r="M8" s="3" t="s">
        <v>27</v>
      </c>
      <c r="N8" s="3" t="s">
        <v>32</v>
      </c>
      <c r="O8" s="3" t="s">
        <v>33</v>
      </c>
      <c r="P8" s="3" t="s">
        <v>34</v>
      </c>
      <c r="Q8" s="3" t="s">
        <v>35</v>
      </c>
      <c r="R8" s="3" t="s">
        <v>36</v>
      </c>
      <c r="S8" s="3" t="s">
        <v>37</v>
      </c>
      <c r="T8" s="3" t="s">
        <v>38</v>
      </c>
      <c r="U8" s="3" t="s">
        <v>39</v>
      </c>
      <c r="V8" s="3" t="s">
        <v>40</v>
      </c>
      <c r="W8" s="3" t="s">
        <v>41</v>
      </c>
      <c r="X8" s="3" t="s">
        <v>42</v>
      </c>
      <c r="Y8" s="3" t="s">
        <v>43</v>
      </c>
      <c r="Z8" s="3" t="s">
        <v>44</v>
      </c>
      <c r="AA8" s="3" t="s">
        <v>45</v>
      </c>
      <c r="AB8" s="3" t="s">
        <v>46</v>
      </c>
      <c r="AC8" s="3" t="s">
        <v>47</v>
      </c>
      <c r="AD8" s="3" t="s">
        <v>20</v>
      </c>
      <c r="AE8" s="3" t="s">
        <v>21</v>
      </c>
      <c r="AF8" s="3" t="s">
        <v>22</v>
      </c>
      <c r="AG8" s="3" t="s">
        <v>23</v>
      </c>
      <c r="AH8" s="2" t="s">
        <v>28</v>
      </c>
      <c r="AI8" s="2" t="s">
        <v>29</v>
      </c>
      <c r="AJ8" s="2" t="s">
        <v>30</v>
      </c>
      <c r="AK8" s="2" t="s">
        <v>31</v>
      </c>
      <c r="AL8" s="3" t="s">
        <v>48</v>
      </c>
      <c r="AM8" s="3" t="s">
        <v>49</v>
      </c>
      <c r="AN8" s="3" t="s">
        <v>50</v>
      </c>
      <c r="AO8" s="3" t="s">
        <v>51</v>
      </c>
      <c r="AP8" s="3" t="s">
        <v>58</v>
      </c>
      <c r="AQ8" s="3" t="s">
        <v>59</v>
      </c>
      <c r="AR8" s="3" t="s">
        <v>60</v>
      </c>
      <c r="AS8" s="3" t="s">
        <v>61</v>
      </c>
      <c r="AT8" s="3" t="s">
        <v>48</v>
      </c>
      <c r="AU8" s="3" t="s">
        <v>49</v>
      </c>
      <c r="AV8" s="3" t="s">
        <v>50</v>
      </c>
      <c r="AW8" s="3" t="s">
        <v>51</v>
      </c>
      <c r="AX8" s="3" t="s">
        <v>62</v>
      </c>
      <c r="AY8" s="3" t="s">
        <v>63</v>
      </c>
      <c r="AZ8" s="3" t="s">
        <v>64</v>
      </c>
      <c r="BA8" s="3" t="s">
        <v>65</v>
      </c>
    </row>
    <row r="9" spans="1:58" x14ac:dyDescent="0.25">
      <c r="A9">
        <v>1</v>
      </c>
      <c r="B9" s="4"/>
      <c r="C9" s="4"/>
      <c r="D9" s="4"/>
      <c r="E9" s="8"/>
      <c r="F9" s="6"/>
      <c r="G9" s="7"/>
      <c r="H9" s="7"/>
      <c r="I9" s="7"/>
      <c r="J9" s="5"/>
      <c r="K9" s="5"/>
      <c r="L9" s="5"/>
      <c r="M9" s="5"/>
    </row>
    <row r="10" spans="1:58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AD10" s="3"/>
      <c r="AE10" s="3"/>
      <c r="AF10" s="3"/>
      <c r="AG10" s="3"/>
    </row>
    <row r="11" spans="1:58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AD11" s="3"/>
      <c r="AE11" s="3"/>
      <c r="AF11" s="3"/>
      <c r="AG11" s="3"/>
    </row>
    <row r="12" spans="1:58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AD12" s="3"/>
      <c r="AE12" s="3"/>
      <c r="AF12" s="3"/>
      <c r="AG12" s="3"/>
    </row>
    <row r="13" spans="1:58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AD13" s="3"/>
      <c r="AE13" s="3"/>
      <c r="AF13" s="3"/>
      <c r="AG13" s="3"/>
    </row>
    <row r="14" spans="1:58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AD14" s="3"/>
      <c r="AE14" s="3"/>
      <c r="AF14" s="3"/>
      <c r="AG14" s="3"/>
    </row>
    <row r="15" spans="1:58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AD15" s="3"/>
      <c r="AE15" s="3"/>
      <c r="AF15" s="3"/>
      <c r="AG15" s="3"/>
    </row>
    <row r="16" spans="1:58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AD16" s="3"/>
      <c r="AE16" s="3"/>
      <c r="AF16" s="3"/>
      <c r="AG16" s="3"/>
    </row>
    <row r="17" spans="2:33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AD17" s="3"/>
      <c r="AE17" s="3"/>
      <c r="AF17" s="3"/>
      <c r="AG17" s="3"/>
    </row>
    <row r="18" spans="2:33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AD18" s="3"/>
      <c r="AE18" s="3"/>
      <c r="AF18" s="3"/>
      <c r="AG18" s="3"/>
    </row>
    <row r="19" spans="2:33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AD19" s="3"/>
      <c r="AE19" s="3"/>
      <c r="AF19" s="3"/>
      <c r="AG19" s="3"/>
    </row>
    <row r="20" spans="2:33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AD20" s="3"/>
      <c r="AE20" s="3"/>
      <c r="AF20" s="3"/>
      <c r="AG20" s="3"/>
    </row>
    <row r="21" spans="2:33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AD21" s="3"/>
      <c r="AE21" s="3"/>
      <c r="AF21" s="3"/>
      <c r="AG21" s="3"/>
    </row>
    <row r="22" spans="2:33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AD22" s="3"/>
      <c r="AE22" s="3"/>
      <c r="AF22" s="3"/>
      <c r="AG22" s="3"/>
    </row>
    <row r="23" spans="2:33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AD23" s="3"/>
      <c r="AE23" s="3"/>
      <c r="AF23" s="3"/>
      <c r="AG23" s="3"/>
    </row>
    <row r="24" spans="2:33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AD24" s="3"/>
      <c r="AE24" s="3"/>
      <c r="AF24" s="3"/>
      <c r="AG24" s="3"/>
    </row>
    <row r="25" spans="2:33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AD25" s="3"/>
      <c r="AE25" s="3"/>
      <c r="AF25" s="3"/>
      <c r="AG25" s="3"/>
    </row>
    <row r="26" spans="2:33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AD26" s="3"/>
      <c r="AE26" s="3"/>
      <c r="AF26" s="3"/>
      <c r="AG26" s="3"/>
    </row>
    <row r="27" spans="2:33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AD27" s="3"/>
      <c r="AE27" s="3"/>
      <c r="AF27" s="3"/>
      <c r="AG27" s="3"/>
    </row>
    <row r="28" spans="2:33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AD28" s="3"/>
      <c r="AE28" s="3"/>
      <c r="AF28" s="3"/>
      <c r="AG28" s="3"/>
    </row>
    <row r="29" spans="2:33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AD29" s="3"/>
      <c r="AE29" s="3"/>
      <c r="AF29" s="3"/>
      <c r="AG29" s="3"/>
    </row>
    <row r="30" spans="2:33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AD30" s="3"/>
      <c r="AE30" s="3"/>
      <c r="AF30" s="3"/>
      <c r="AG30" s="3"/>
    </row>
    <row r="31" spans="2:33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AD31" s="3"/>
      <c r="AE31" s="3"/>
      <c r="AF31" s="3"/>
      <c r="AG31" s="3"/>
    </row>
    <row r="32" spans="2:33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AD32" s="3"/>
      <c r="AE32" s="3"/>
      <c r="AF32" s="3"/>
      <c r="AG32" s="3"/>
    </row>
    <row r="33" spans="2:33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AD33" s="3"/>
      <c r="AE33" s="3"/>
      <c r="AF33" s="3"/>
      <c r="AG33" s="3"/>
    </row>
    <row r="34" spans="2:33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AD34" s="3"/>
      <c r="AE34" s="3"/>
      <c r="AF34" s="3"/>
      <c r="AG34" s="3"/>
    </row>
    <row r="35" spans="2:33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AD35" s="3"/>
      <c r="AE35" s="3"/>
      <c r="AF35" s="3"/>
      <c r="AG35" s="3"/>
    </row>
    <row r="36" spans="2:33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AD36" s="3"/>
      <c r="AE36" s="3"/>
      <c r="AF36" s="3"/>
      <c r="AG36" s="3"/>
    </row>
    <row r="37" spans="2:33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AD37" s="3"/>
      <c r="AE37" s="3"/>
      <c r="AF37" s="3"/>
      <c r="AG37" s="3"/>
    </row>
    <row r="38" spans="2:33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AD38" s="3"/>
      <c r="AE38" s="3"/>
      <c r="AF38" s="3"/>
      <c r="AG38" s="3"/>
    </row>
    <row r="39" spans="2:3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AD39" s="3"/>
      <c r="AE39" s="3"/>
      <c r="AF39" s="3"/>
      <c r="AG39" s="3"/>
    </row>
    <row r="40" spans="2:33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AD40" s="3"/>
      <c r="AE40" s="3"/>
      <c r="AF40" s="3"/>
      <c r="AG40" s="3"/>
    </row>
    <row r="41" spans="2:33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AD41" s="3"/>
      <c r="AE41" s="3"/>
      <c r="AF41" s="3"/>
      <c r="AG41" s="3"/>
    </row>
    <row r="42" spans="2:33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AD42" s="3"/>
      <c r="AE42" s="3"/>
      <c r="AF42" s="3"/>
      <c r="AG42" s="3"/>
    </row>
    <row r="43" spans="2:33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AD43" s="3"/>
      <c r="AE43" s="3"/>
      <c r="AF43" s="3"/>
      <c r="AG43" s="3"/>
    </row>
    <row r="44" spans="2:33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AD44" s="3"/>
      <c r="AE44" s="3"/>
      <c r="AF44" s="3"/>
      <c r="AG44" s="3"/>
    </row>
    <row r="45" spans="2:33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AD45" s="3"/>
      <c r="AE45" s="3"/>
      <c r="AF45" s="3"/>
      <c r="AG45" s="3"/>
    </row>
    <row r="46" spans="2:33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AD46" s="3"/>
      <c r="AE46" s="3"/>
      <c r="AF46" s="3"/>
      <c r="AG46" s="3"/>
    </row>
    <row r="47" spans="2:33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AD47" s="3"/>
      <c r="AE47" s="3"/>
      <c r="AF47" s="3"/>
      <c r="AG47" s="3"/>
    </row>
    <row r="48" spans="2:33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AD48" s="3"/>
      <c r="AE48" s="3"/>
      <c r="AF48" s="3"/>
      <c r="AG48" s="3"/>
    </row>
    <row r="49" spans="2:33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AD49" s="3"/>
      <c r="AE49" s="3"/>
      <c r="AF49" s="3"/>
      <c r="AG49" s="3"/>
    </row>
    <row r="50" spans="2:33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AD50" s="3"/>
      <c r="AE50" s="3"/>
      <c r="AF50" s="3"/>
      <c r="AG50" s="3"/>
    </row>
    <row r="51" spans="2:33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AD51" s="3"/>
      <c r="AE51" s="3"/>
      <c r="AF51" s="3"/>
      <c r="AG51" s="3"/>
    </row>
    <row r="52" spans="2:33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AD52" s="3"/>
      <c r="AE52" s="3"/>
      <c r="AF52" s="3"/>
      <c r="AG52" s="3"/>
    </row>
    <row r="53" spans="2:33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AD53" s="3"/>
      <c r="AE53" s="3"/>
      <c r="AF53" s="3"/>
      <c r="AG53" s="3"/>
    </row>
    <row r="54" spans="2:33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AD54" s="3"/>
      <c r="AE54" s="3"/>
      <c r="AF54" s="3"/>
      <c r="AG54" s="3"/>
    </row>
    <row r="55" spans="2:33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AD55" s="3"/>
      <c r="AE55" s="3"/>
      <c r="AF55" s="3"/>
      <c r="AG55" s="3"/>
    </row>
    <row r="56" spans="2:33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AD56" s="3"/>
      <c r="AE56" s="3"/>
      <c r="AF56" s="3"/>
      <c r="AG56" s="3"/>
    </row>
    <row r="57" spans="2:33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AD57" s="3"/>
      <c r="AE57" s="3"/>
      <c r="AF57" s="3"/>
      <c r="AG57" s="3"/>
    </row>
    <row r="58" spans="2:33" x14ac:dyDescent="0.2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AD58" s="3"/>
      <c r="AE58" s="3"/>
      <c r="AF58" s="3"/>
      <c r="AG58" s="3"/>
    </row>
    <row r="59" spans="2:33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AD59" s="3"/>
      <c r="AE59" s="3"/>
      <c r="AF59" s="3"/>
      <c r="AG59" s="3"/>
    </row>
    <row r="60" spans="2:33" x14ac:dyDescent="0.2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AD60" s="3"/>
      <c r="AE60" s="3"/>
      <c r="AF60" s="3"/>
      <c r="AG60" s="3"/>
    </row>
    <row r="61" spans="2:33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AD61" s="3"/>
      <c r="AE61" s="3"/>
      <c r="AF61" s="3"/>
      <c r="AG61" s="3"/>
    </row>
    <row r="62" spans="2:33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AD62" s="3"/>
      <c r="AE62" s="3"/>
      <c r="AF62" s="3"/>
      <c r="AG62" s="3"/>
    </row>
    <row r="63" spans="2:33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AD63" s="3"/>
      <c r="AE63" s="3"/>
      <c r="AF63" s="3"/>
      <c r="AG63" s="3"/>
    </row>
    <row r="64" spans="2:33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AD64" s="3"/>
      <c r="AE64" s="3"/>
      <c r="AF64" s="3"/>
      <c r="AG64" s="3"/>
    </row>
    <row r="65" spans="2:33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AD65" s="3"/>
      <c r="AE65" s="3"/>
      <c r="AF65" s="3"/>
      <c r="AG65" s="3"/>
    </row>
    <row r="66" spans="2:33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AD66" s="3"/>
      <c r="AE66" s="3"/>
      <c r="AF66" s="3"/>
      <c r="AG66" s="3"/>
    </row>
    <row r="67" spans="2:33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AD67" s="3"/>
      <c r="AE67" s="3"/>
      <c r="AF67" s="3"/>
      <c r="AG67" s="3"/>
    </row>
    <row r="68" spans="2:33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AD68" s="3"/>
      <c r="AE68" s="3"/>
      <c r="AF68" s="3"/>
      <c r="AG68" s="3"/>
    </row>
    <row r="69" spans="2:33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AD69" s="3"/>
      <c r="AE69" s="3"/>
      <c r="AF69" s="3"/>
      <c r="AG69" s="3"/>
    </row>
    <row r="70" spans="2:33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AD70" s="3"/>
      <c r="AE70" s="3"/>
      <c r="AF70" s="3"/>
      <c r="AG70" s="3"/>
    </row>
    <row r="71" spans="2:33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AD71" s="3"/>
      <c r="AE71" s="3"/>
      <c r="AF71" s="3"/>
      <c r="AG71" s="3"/>
    </row>
    <row r="72" spans="2:33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AD72" s="3"/>
      <c r="AE72" s="3"/>
      <c r="AF72" s="3"/>
      <c r="AG72" s="3"/>
    </row>
    <row r="73" spans="2:33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AD73" s="3"/>
      <c r="AE73" s="3"/>
      <c r="AF73" s="3"/>
      <c r="AG73" s="3"/>
    </row>
    <row r="74" spans="2:33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AD74" s="3"/>
      <c r="AE74" s="3"/>
      <c r="AF74" s="3"/>
      <c r="AG74" s="3"/>
    </row>
    <row r="75" spans="2:33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AD75" s="3"/>
      <c r="AE75" s="3"/>
      <c r="AF75" s="3"/>
      <c r="AG75" s="3"/>
    </row>
    <row r="76" spans="2:33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AD76" s="3"/>
      <c r="AE76" s="3"/>
      <c r="AF76" s="3"/>
      <c r="AG76" s="3"/>
    </row>
    <row r="77" spans="2:33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AD77" s="3"/>
      <c r="AE77" s="3"/>
      <c r="AF77" s="3"/>
      <c r="AG77" s="3"/>
    </row>
    <row r="78" spans="2:33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AD78" s="3"/>
      <c r="AE78" s="3"/>
      <c r="AF78" s="3"/>
      <c r="AG78" s="3"/>
    </row>
    <row r="79" spans="2:33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AD79" s="3"/>
      <c r="AE79" s="3"/>
      <c r="AF79" s="3"/>
      <c r="AG79" s="3"/>
    </row>
    <row r="80" spans="2:33" x14ac:dyDescent="0.2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AD80" s="3"/>
      <c r="AE80" s="3"/>
      <c r="AF80" s="3"/>
      <c r="AG80" s="3"/>
    </row>
    <row r="81" spans="2:33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AD81" s="3"/>
      <c r="AE81" s="3"/>
      <c r="AF81" s="3"/>
      <c r="AG81" s="3"/>
    </row>
    <row r="82" spans="2:33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AD82" s="3"/>
      <c r="AE82" s="3"/>
      <c r="AF82" s="3"/>
      <c r="AG82" s="3"/>
    </row>
    <row r="83" spans="2:33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AD83" s="3"/>
      <c r="AE83" s="3"/>
      <c r="AF83" s="3"/>
      <c r="AG83" s="3"/>
    </row>
    <row r="84" spans="2:33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AD84" s="3"/>
      <c r="AE84" s="3"/>
      <c r="AF84" s="3"/>
      <c r="AG84" s="3"/>
    </row>
    <row r="85" spans="2:33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AD85" s="3"/>
      <c r="AE85" s="3"/>
      <c r="AF85" s="3"/>
      <c r="AG85" s="3"/>
    </row>
    <row r="86" spans="2:33" x14ac:dyDescent="0.2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AD86" s="3"/>
      <c r="AE86" s="3"/>
      <c r="AF86" s="3"/>
      <c r="AG86" s="3"/>
    </row>
    <row r="87" spans="2:33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AD87" s="3"/>
      <c r="AE87" s="3"/>
      <c r="AF87" s="3"/>
      <c r="AG87" s="3"/>
    </row>
    <row r="88" spans="2:33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AD88" s="3"/>
      <c r="AE88" s="3"/>
      <c r="AF88" s="3"/>
      <c r="AG88" s="3"/>
    </row>
    <row r="89" spans="2:33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AD89" s="3"/>
      <c r="AE89" s="3"/>
      <c r="AF89" s="3"/>
      <c r="AG89" s="3"/>
    </row>
    <row r="90" spans="2:33" x14ac:dyDescent="0.2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AD90" s="3"/>
      <c r="AE90" s="3"/>
      <c r="AF90" s="3"/>
      <c r="AG90" s="3"/>
    </row>
    <row r="91" spans="2:33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AD91" s="3"/>
      <c r="AE91" s="3"/>
      <c r="AF91" s="3"/>
      <c r="AG91" s="3"/>
    </row>
    <row r="92" spans="2:33" x14ac:dyDescent="0.2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AD92" s="3"/>
      <c r="AE92" s="3"/>
      <c r="AF92" s="3"/>
      <c r="AG92" s="3"/>
    </row>
    <row r="93" spans="2:33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AD93" s="3"/>
      <c r="AE93" s="3"/>
      <c r="AF93" s="3"/>
      <c r="AG93" s="3"/>
    </row>
    <row r="94" spans="2:33" x14ac:dyDescent="0.2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AD94" s="3"/>
      <c r="AE94" s="3"/>
      <c r="AF94" s="3"/>
      <c r="AG94" s="3"/>
    </row>
    <row r="95" spans="2:33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AD95" s="3"/>
      <c r="AE95" s="3"/>
      <c r="AF95" s="3"/>
      <c r="AG95" s="3"/>
    </row>
    <row r="96" spans="2:33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AD96" s="3"/>
      <c r="AE96" s="3"/>
      <c r="AF96" s="3"/>
      <c r="AG96" s="3"/>
    </row>
    <row r="97" spans="2:33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AD97" s="3"/>
      <c r="AE97" s="3"/>
      <c r="AF97" s="3"/>
      <c r="AG97" s="3"/>
    </row>
    <row r="98" spans="2:33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AD98" s="3"/>
      <c r="AE98" s="3"/>
      <c r="AF98" s="3"/>
      <c r="AG98" s="3"/>
    </row>
    <row r="99" spans="2:33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AD99" s="3"/>
      <c r="AE99" s="3"/>
      <c r="AF99" s="3"/>
      <c r="AG99" s="3"/>
    </row>
    <row r="100" spans="2:33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AD100" s="3"/>
      <c r="AE100" s="3"/>
      <c r="AF100" s="3"/>
      <c r="AG100" s="3"/>
    </row>
    <row r="101" spans="2:33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AD101" s="3"/>
      <c r="AE101" s="3"/>
      <c r="AF101" s="3"/>
      <c r="AG101" s="3"/>
    </row>
    <row r="102" spans="2:33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AD102" s="3"/>
      <c r="AE102" s="3"/>
      <c r="AF102" s="3"/>
      <c r="AG102" s="3"/>
    </row>
    <row r="103" spans="2:33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AD103" s="3"/>
      <c r="AE103" s="3"/>
      <c r="AF103" s="3"/>
      <c r="AG103" s="3"/>
    </row>
    <row r="104" spans="2:33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AD104" s="3"/>
      <c r="AE104" s="3"/>
      <c r="AF104" s="3"/>
      <c r="AG104" s="3"/>
    </row>
    <row r="105" spans="2:33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AD105" s="3"/>
      <c r="AE105" s="3"/>
      <c r="AF105" s="3"/>
      <c r="AG105" s="3"/>
    </row>
    <row r="106" spans="2:33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AD106" s="3"/>
      <c r="AE106" s="3"/>
      <c r="AF106" s="3"/>
      <c r="AG106" s="3"/>
    </row>
    <row r="107" spans="2:33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AD107" s="3"/>
      <c r="AE107" s="3"/>
      <c r="AF107" s="3"/>
      <c r="AG107" s="3"/>
    </row>
    <row r="108" spans="2:33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AD108" s="3"/>
      <c r="AE108" s="3"/>
      <c r="AF108" s="3"/>
      <c r="AG108" s="3"/>
    </row>
    <row r="109" spans="2:33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AD109" s="3"/>
      <c r="AE109" s="3"/>
      <c r="AF109" s="3"/>
      <c r="AG109" s="3"/>
    </row>
    <row r="110" spans="2:33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AD110" s="3"/>
      <c r="AE110" s="3"/>
      <c r="AF110" s="3"/>
      <c r="AG110" s="3"/>
    </row>
    <row r="111" spans="2:33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AD111" s="3"/>
      <c r="AE111" s="3"/>
      <c r="AF111" s="3"/>
      <c r="AG111" s="3"/>
    </row>
    <row r="112" spans="2:33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AD112" s="3"/>
      <c r="AE112" s="3"/>
      <c r="AF112" s="3"/>
      <c r="AG112" s="3"/>
    </row>
    <row r="113" spans="2:33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AD113" s="3"/>
      <c r="AE113" s="3"/>
      <c r="AF113" s="3"/>
      <c r="AG113" s="3"/>
    </row>
    <row r="114" spans="2:33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AD114" s="3"/>
      <c r="AE114" s="3"/>
      <c r="AF114" s="3"/>
      <c r="AG114" s="3"/>
    </row>
    <row r="115" spans="2:33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AD115" s="3"/>
      <c r="AE115" s="3"/>
      <c r="AF115" s="3"/>
      <c r="AG115" s="3"/>
    </row>
    <row r="116" spans="2:33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AD116" s="3"/>
      <c r="AE116" s="3"/>
      <c r="AF116" s="3"/>
      <c r="AG116" s="3"/>
    </row>
    <row r="117" spans="2:33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AD117" s="3"/>
      <c r="AE117" s="3"/>
      <c r="AF117" s="3"/>
      <c r="AG117" s="3"/>
    </row>
    <row r="118" spans="2:33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AD118" s="3"/>
      <c r="AE118" s="3"/>
      <c r="AF118" s="3"/>
      <c r="AG118" s="3"/>
    </row>
    <row r="119" spans="2:33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AD119" s="3"/>
      <c r="AE119" s="3"/>
      <c r="AF119" s="3"/>
      <c r="AG119" s="3"/>
    </row>
    <row r="120" spans="2:33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AD120" s="3"/>
      <c r="AE120" s="3"/>
      <c r="AF120" s="3"/>
      <c r="AG120" s="3"/>
    </row>
    <row r="121" spans="2:33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AD121" s="3"/>
      <c r="AE121" s="3"/>
      <c r="AF121" s="3"/>
      <c r="AG121" s="3"/>
    </row>
    <row r="122" spans="2:33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AD122" s="3"/>
      <c r="AE122" s="3"/>
      <c r="AF122" s="3"/>
      <c r="AG122" s="3"/>
    </row>
    <row r="123" spans="2:33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AD123" s="3"/>
      <c r="AE123" s="3"/>
      <c r="AF123" s="3"/>
      <c r="AG123" s="3"/>
    </row>
    <row r="124" spans="2:33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AD124" s="3"/>
      <c r="AE124" s="3"/>
      <c r="AF124" s="3"/>
      <c r="AG124" s="3"/>
    </row>
    <row r="125" spans="2:33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AD125" s="3"/>
      <c r="AE125" s="3"/>
      <c r="AF125" s="3"/>
      <c r="AG125" s="3"/>
    </row>
    <row r="126" spans="2:33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AD126" s="3"/>
      <c r="AE126" s="3"/>
      <c r="AF126" s="3"/>
      <c r="AG126" s="3"/>
    </row>
    <row r="127" spans="2:33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AD127" s="3"/>
      <c r="AE127" s="3"/>
      <c r="AF127" s="3"/>
      <c r="AG127" s="3"/>
    </row>
    <row r="128" spans="2:33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AD128" s="3"/>
      <c r="AE128" s="3"/>
      <c r="AF128" s="3"/>
      <c r="AG128" s="3"/>
    </row>
    <row r="129" spans="2:33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AD129" s="3"/>
      <c r="AE129" s="3"/>
      <c r="AF129" s="3"/>
      <c r="AG129" s="3"/>
    </row>
    <row r="130" spans="2:33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AD130" s="3"/>
      <c r="AE130" s="3"/>
      <c r="AF130" s="3"/>
      <c r="AG130" s="3"/>
    </row>
    <row r="131" spans="2:33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AD131" s="3"/>
      <c r="AE131" s="3"/>
      <c r="AF131" s="3"/>
      <c r="AG131" s="3"/>
    </row>
    <row r="132" spans="2:33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AD132" s="3"/>
      <c r="AE132" s="3"/>
      <c r="AF132" s="3"/>
      <c r="AG132" s="3"/>
    </row>
    <row r="133" spans="2:33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AD133" s="3"/>
      <c r="AE133" s="3"/>
      <c r="AF133" s="3"/>
      <c r="AG133" s="3"/>
    </row>
    <row r="134" spans="2:33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AD134" s="3"/>
      <c r="AE134" s="3"/>
      <c r="AF134" s="3"/>
      <c r="AG134" s="3"/>
    </row>
    <row r="135" spans="2:33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AD135" s="3"/>
      <c r="AE135" s="3"/>
      <c r="AF135" s="3"/>
      <c r="AG135" s="3"/>
    </row>
    <row r="136" spans="2:33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AD136" s="3"/>
      <c r="AE136" s="3"/>
      <c r="AF136" s="3"/>
      <c r="AG136" s="3"/>
    </row>
    <row r="137" spans="2:33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AD137" s="3"/>
      <c r="AE137" s="3"/>
      <c r="AF137" s="3"/>
      <c r="AG137" s="3"/>
    </row>
    <row r="138" spans="2:33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AD138" s="3"/>
      <c r="AE138" s="3"/>
      <c r="AF138" s="3"/>
      <c r="AG138" s="3"/>
    </row>
    <row r="139" spans="2:33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AD139" s="3"/>
      <c r="AE139" s="3"/>
      <c r="AF139" s="3"/>
      <c r="AG139" s="3"/>
    </row>
    <row r="140" spans="2:33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AD140" s="3"/>
      <c r="AE140" s="3"/>
      <c r="AF140" s="3"/>
      <c r="AG140" s="3"/>
    </row>
    <row r="141" spans="2:33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AD141" s="3"/>
      <c r="AE141" s="3"/>
      <c r="AF141" s="3"/>
      <c r="AG141" s="3"/>
    </row>
    <row r="142" spans="2:33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AD142" s="3"/>
      <c r="AE142" s="3"/>
      <c r="AF142" s="3"/>
      <c r="AG142" s="3"/>
    </row>
    <row r="143" spans="2:33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AD143" s="3"/>
      <c r="AE143" s="3"/>
      <c r="AF143" s="3"/>
      <c r="AG143" s="3"/>
    </row>
    <row r="144" spans="2:33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AD144" s="3"/>
      <c r="AE144" s="3"/>
      <c r="AF144" s="3"/>
      <c r="AG144" s="3"/>
    </row>
    <row r="145" spans="2:33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AD145" s="3"/>
      <c r="AE145" s="3"/>
      <c r="AF145" s="3"/>
      <c r="AG145" s="3"/>
    </row>
    <row r="146" spans="2:33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AD146" s="3"/>
      <c r="AE146" s="3"/>
      <c r="AF146" s="3"/>
      <c r="AG146" s="3"/>
    </row>
    <row r="147" spans="2:33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AD147" s="3"/>
      <c r="AE147" s="3"/>
      <c r="AF147" s="3"/>
      <c r="AG147" s="3"/>
    </row>
    <row r="148" spans="2:33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AD148" s="3"/>
      <c r="AE148" s="3"/>
      <c r="AF148" s="3"/>
      <c r="AG148" s="3"/>
    </row>
    <row r="149" spans="2:33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AD149" s="3"/>
      <c r="AE149" s="3"/>
      <c r="AF149" s="3"/>
      <c r="AG149" s="3"/>
    </row>
    <row r="150" spans="2:33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AD150" s="3"/>
      <c r="AE150" s="3"/>
      <c r="AF150" s="3"/>
      <c r="AG150" s="3"/>
    </row>
    <row r="151" spans="2:33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AD151" s="3"/>
      <c r="AE151" s="3"/>
      <c r="AF151" s="3"/>
      <c r="AG151" s="3"/>
    </row>
    <row r="152" spans="2:33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AD152" s="3"/>
      <c r="AE152" s="3"/>
      <c r="AF152" s="3"/>
      <c r="AG152" s="3"/>
    </row>
    <row r="153" spans="2:33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AD153" s="3"/>
      <c r="AE153" s="3"/>
      <c r="AF153" s="3"/>
      <c r="AG153" s="3"/>
    </row>
    <row r="154" spans="2:33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AD154" s="3"/>
      <c r="AE154" s="3"/>
      <c r="AF154" s="3"/>
      <c r="AG154" s="3"/>
    </row>
    <row r="155" spans="2:33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AD155" s="3"/>
      <c r="AE155" s="3"/>
      <c r="AF155" s="3"/>
      <c r="AG155" s="3"/>
    </row>
    <row r="156" spans="2:33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AD156" s="3"/>
      <c r="AE156" s="3"/>
      <c r="AF156" s="3"/>
      <c r="AG156" s="3"/>
    </row>
    <row r="157" spans="2:33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AD157" s="3"/>
      <c r="AE157" s="3"/>
      <c r="AF157" s="3"/>
      <c r="AG157" s="3"/>
    </row>
    <row r="158" spans="2:33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AD158" s="3"/>
      <c r="AE158" s="3"/>
      <c r="AF158" s="3"/>
      <c r="AG158" s="3"/>
    </row>
    <row r="159" spans="2:33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AD159" s="3"/>
      <c r="AE159" s="3"/>
      <c r="AF159" s="3"/>
      <c r="AG159" s="3"/>
    </row>
    <row r="160" spans="2:33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AD160" s="3"/>
      <c r="AE160" s="3"/>
      <c r="AF160" s="3"/>
      <c r="AG160" s="3"/>
    </row>
    <row r="161" spans="2:33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AD161" s="3"/>
      <c r="AE161" s="3"/>
      <c r="AF161" s="3"/>
      <c r="AG161" s="3"/>
    </row>
    <row r="162" spans="2:33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AD162" s="3"/>
      <c r="AE162" s="3"/>
      <c r="AF162" s="3"/>
      <c r="AG162" s="3"/>
    </row>
    <row r="163" spans="2:33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AD163" s="3"/>
      <c r="AE163" s="3"/>
      <c r="AF163" s="3"/>
      <c r="AG163" s="3"/>
    </row>
    <row r="164" spans="2:33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AD164" s="3"/>
      <c r="AE164" s="3"/>
      <c r="AF164" s="3"/>
      <c r="AG164" s="3"/>
    </row>
    <row r="165" spans="2:33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AD165" s="3"/>
      <c r="AE165" s="3"/>
      <c r="AF165" s="3"/>
      <c r="AG165" s="3"/>
    </row>
    <row r="166" spans="2:33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AD166" s="3"/>
      <c r="AE166" s="3"/>
      <c r="AF166" s="3"/>
      <c r="AG166" s="3"/>
    </row>
    <row r="167" spans="2:33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AD167" s="3"/>
      <c r="AE167" s="3"/>
      <c r="AF167" s="3"/>
      <c r="AG167" s="3"/>
    </row>
    <row r="168" spans="2:33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AD168" s="3"/>
      <c r="AE168" s="3"/>
      <c r="AF168" s="3"/>
      <c r="AG168" s="3"/>
    </row>
    <row r="169" spans="2:33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AD169" s="3"/>
      <c r="AE169" s="3"/>
      <c r="AF169" s="3"/>
      <c r="AG169" s="3"/>
    </row>
    <row r="170" spans="2:33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AD170" s="3"/>
      <c r="AE170" s="3"/>
      <c r="AF170" s="3"/>
      <c r="AG170" s="3"/>
    </row>
    <row r="171" spans="2:33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AD171" s="3"/>
      <c r="AE171" s="3"/>
      <c r="AF171" s="3"/>
      <c r="AG171" s="3"/>
    </row>
    <row r="172" spans="2:33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AD172" s="3"/>
      <c r="AE172" s="3"/>
      <c r="AF172" s="3"/>
      <c r="AG172" s="3"/>
    </row>
    <row r="173" spans="2:33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AD173" s="3"/>
      <c r="AE173" s="3"/>
      <c r="AF173" s="3"/>
      <c r="AG173" s="3"/>
    </row>
    <row r="174" spans="2:33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AD174" s="3"/>
      <c r="AE174" s="3"/>
      <c r="AF174" s="3"/>
      <c r="AG174" s="3"/>
    </row>
    <row r="175" spans="2:33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AD175" s="3"/>
      <c r="AE175" s="3"/>
      <c r="AF175" s="3"/>
      <c r="AG175" s="3"/>
    </row>
    <row r="176" spans="2:33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AD176" s="3"/>
      <c r="AE176" s="3"/>
      <c r="AF176" s="3"/>
      <c r="AG176" s="3"/>
    </row>
    <row r="177" spans="2:33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AD177" s="3"/>
      <c r="AE177" s="3"/>
      <c r="AF177" s="3"/>
      <c r="AG177" s="3"/>
    </row>
    <row r="178" spans="2:33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AD178" s="3"/>
      <c r="AE178" s="3"/>
      <c r="AF178" s="3"/>
      <c r="AG178" s="3"/>
    </row>
    <row r="179" spans="2:33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AD179" s="3"/>
      <c r="AE179" s="3"/>
      <c r="AF179" s="3"/>
      <c r="AG179" s="3"/>
    </row>
    <row r="180" spans="2:33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AD180" s="3"/>
      <c r="AE180" s="3"/>
      <c r="AF180" s="3"/>
      <c r="AG180" s="3"/>
    </row>
    <row r="181" spans="2:33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AD181" s="3"/>
      <c r="AE181" s="3"/>
      <c r="AF181" s="3"/>
      <c r="AG181" s="3"/>
    </row>
    <row r="182" spans="2:33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AD182" s="3"/>
      <c r="AE182" s="3"/>
      <c r="AF182" s="3"/>
      <c r="AG182" s="3"/>
    </row>
    <row r="183" spans="2:33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AD183" s="3"/>
      <c r="AE183" s="3"/>
      <c r="AF183" s="3"/>
      <c r="AG183" s="3"/>
    </row>
    <row r="184" spans="2:33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AD184" s="3"/>
      <c r="AE184" s="3"/>
      <c r="AF184" s="3"/>
      <c r="AG184" s="3"/>
    </row>
    <row r="185" spans="2:33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AD185" s="3"/>
      <c r="AE185" s="3"/>
      <c r="AF185" s="3"/>
      <c r="AG185" s="3"/>
    </row>
    <row r="186" spans="2:33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AD186" s="3"/>
      <c r="AE186" s="3"/>
      <c r="AF186" s="3"/>
      <c r="AG186" s="3"/>
    </row>
    <row r="187" spans="2:33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AD187" s="3"/>
      <c r="AE187" s="3"/>
      <c r="AF187" s="3"/>
      <c r="AG187" s="3"/>
    </row>
    <row r="188" spans="2:33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AD188" s="3"/>
      <c r="AE188" s="3"/>
      <c r="AF188" s="3"/>
      <c r="AG188" s="3"/>
    </row>
    <row r="189" spans="2:33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AD189" s="3"/>
      <c r="AE189" s="3"/>
      <c r="AF189" s="3"/>
      <c r="AG189" s="3"/>
    </row>
    <row r="190" spans="2:33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AD190" s="3"/>
      <c r="AE190" s="3"/>
      <c r="AF190" s="3"/>
      <c r="AG190" s="3"/>
    </row>
    <row r="191" spans="2:33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AD191" s="3"/>
      <c r="AE191" s="3"/>
      <c r="AF191" s="3"/>
      <c r="AG191" s="3"/>
    </row>
    <row r="192" spans="2:33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AD192" s="3"/>
      <c r="AE192" s="3"/>
      <c r="AF192" s="3"/>
      <c r="AG192" s="3"/>
    </row>
    <row r="193" spans="2:33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AD193" s="3"/>
      <c r="AE193" s="3"/>
      <c r="AF193" s="3"/>
      <c r="AG193" s="3"/>
    </row>
    <row r="194" spans="2:33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AD194" s="3"/>
      <c r="AE194" s="3"/>
      <c r="AF194" s="3"/>
      <c r="AG194" s="3"/>
    </row>
    <row r="195" spans="2:33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AD195" s="3"/>
      <c r="AE195" s="3"/>
      <c r="AF195" s="3"/>
      <c r="AG195" s="3"/>
    </row>
    <row r="196" spans="2:33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AD196" s="3"/>
      <c r="AE196" s="3"/>
      <c r="AF196" s="3"/>
      <c r="AG196" s="3"/>
    </row>
    <row r="197" spans="2:33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AD197" s="3"/>
      <c r="AE197" s="3"/>
      <c r="AF197" s="3"/>
      <c r="AG197" s="3"/>
    </row>
    <row r="198" spans="2:33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AD198" s="3"/>
      <c r="AE198" s="3"/>
      <c r="AF198" s="3"/>
      <c r="AG198" s="3"/>
    </row>
    <row r="199" spans="2:33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AD199" s="3"/>
      <c r="AE199" s="3"/>
      <c r="AF199" s="3"/>
      <c r="AG199" s="3"/>
    </row>
    <row r="200" spans="2:33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AD200" s="3"/>
      <c r="AE200" s="3"/>
      <c r="AF200" s="3"/>
      <c r="AG200" s="3"/>
    </row>
    <row r="201" spans="2:33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AD201" s="3"/>
      <c r="AE201" s="3"/>
      <c r="AF201" s="3"/>
      <c r="AG201" s="3"/>
    </row>
    <row r="202" spans="2:33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AD202" s="3"/>
      <c r="AE202" s="3"/>
      <c r="AF202" s="3"/>
      <c r="AG202" s="3"/>
    </row>
    <row r="203" spans="2:33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AD203" s="3"/>
      <c r="AE203" s="3"/>
      <c r="AF203" s="3"/>
      <c r="AG203" s="3"/>
    </row>
    <row r="204" spans="2:33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AD204" s="3"/>
      <c r="AE204" s="3"/>
      <c r="AF204" s="3"/>
      <c r="AG204" s="3"/>
    </row>
    <row r="205" spans="2:33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AD205" s="3"/>
      <c r="AE205" s="3"/>
      <c r="AF205" s="3"/>
      <c r="AG205" s="3"/>
    </row>
    <row r="206" spans="2:33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AD206" s="3"/>
      <c r="AE206" s="3"/>
      <c r="AF206" s="3"/>
      <c r="AG206" s="3"/>
    </row>
    <row r="207" spans="2:33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AD207" s="3"/>
      <c r="AE207" s="3"/>
      <c r="AF207" s="3"/>
      <c r="AG207" s="3"/>
    </row>
    <row r="208" spans="2:33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AD208" s="3"/>
      <c r="AE208" s="3"/>
      <c r="AF208" s="3"/>
      <c r="AG208" s="3"/>
    </row>
    <row r="209" spans="2:33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AD209" s="3"/>
      <c r="AE209" s="3"/>
      <c r="AF209" s="3"/>
      <c r="AG209" s="3"/>
    </row>
    <row r="210" spans="2:33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AD210" s="3"/>
      <c r="AE210" s="3"/>
      <c r="AF210" s="3"/>
      <c r="AG210" s="3"/>
    </row>
    <row r="211" spans="2:33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AD211" s="3"/>
      <c r="AE211" s="3"/>
      <c r="AF211" s="3"/>
      <c r="AG211" s="3"/>
    </row>
    <row r="212" spans="2:33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AD212" s="3"/>
      <c r="AE212" s="3"/>
      <c r="AF212" s="3"/>
      <c r="AG212" s="3"/>
    </row>
    <row r="213" spans="2:33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AD213" s="3"/>
      <c r="AE213" s="3"/>
      <c r="AF213" s="3"/>
      <c r="AG213" s="3"/>
    </row>
    <row r="214" spans="2:33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AD214" s="3"/>
      <c r="AE214" s="3"/>
      <c r="AF214" s="3"/>
      <c r="AG214" s="3"/>
    </row>
    <row r="215" spans="2:33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AD215" s="3"/>
      <c r="AE215" s="3"/>
      <c r="AF215" s="3"/>
      <c r="AG215" s="3"/>
    </row>
    <row r="216" spans="2:33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AD216" s="3"/>
      <c r="AE216" s="3"/>
      <c r="AF216" s="3"/>
      <c r="AG216" s="3"/>
    </row>
    <row r="217" spans="2:33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AD217" s="3"/>
      <c r="AE217" s="3"/>
      <c r="AF217" s="3"/>
      <c r="AG217" s="3"/>
    </row>
    <row r="218" spans="2:33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AD218" s="3"/>
      <c r="AE218" s="3"/>
      <c r="AF218" s="3"/>
      <c r="AG218" s="3"/>
    </row>
    <row r="219" spans="2:33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AD219" s="3"/>
      <c r="AE219" s="3"/>
      <c r="AF219" s="3"/>
      <c r="AG219" s="3"/>
    </row>
    <row r="220" spans="2:33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AD220" s="3"/>
      <c r="AE220" s="3"/>
      <c r="AF220" s="3"/>
      <c r="AG220" s="3"/>
    </row>
    <row r="221" spans="2:33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AD221" s="3"/>
      <c r="AE221" s="3"/>
      <c r="AF221" s="3"/>
      <c r="AG221" s="3"/>
    </row>
    <row r="222" spans="2:33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AD222" s="3"/>
      <c r="AE222" s="3"/>
      <c r="AF222" s="3"/>
      <c r="AG222" s="3"/>
    </row>
    <row r="223" spans="2:33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AD223" s="3"/>
      <c r="AE223" s="3"/>
      <c r="AF223" s="3"/>
      <c r="AG223" s="3"/>
    </row>
    <row r="224" spans="2:33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AD224" s="3"/>
      <c r="AE224" s="3"/>
      <c r="AF224" s="3"/>
      <c r="AG224" s="3"/>
    </row>
    <row r="225" spans="2:33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AD225" s="3"/>
      <c r="AE225" s="3"/>
      <c r="AF225" s="3"/>
      <c r="AG225" s="3"/>
    </row>
    <row r="226" spans="2:33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AD226" s="3"/>
      <c r="AE226" s="3"/>
      <c r="AF226" s="3"/>
      <c r="AG226" s="3"/>
    </row>
    <row r="227" spans="2:33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AD227" s="3"/>
      <c r="AE227" s="3"/>
      <c r="AF227" s="3"/>
      <c r="AG227" s="3"/>
    </row>
    <row r="228" spans="2:33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AD228" s="3"/>
      <c r="AE228" s="3"/>
      <c r="AF228" s="3"/>
      <c r="AG228" s="3"/>
    </row>
    <row r="229" spans="2:33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AD229" s="3"/>
      <c r="AE229" s="3"/>
      <c r="AF229" s="3"/>
      <c r="AG229" s="3"/>
    </row>
    <row r="230" spans="2:33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AD230" s="3"/>
      <c r="AE230" s="3"/>
      <c r="AF230" s="3"/>
      <c r="AG230" s="3"/>
    </row>
    <row r="231" spans="2:33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AD231" s="3"/>
      <c r="AE231" s="3"/>
      <c r="AF231" s="3"/>
      <c r="AG231" s="3"/>
    </row>
    <row r="232" spans="2:33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AD232" s="3"/>
      <c r="AE232" s="3"/>
      <c r="AF232" s="3"/>
      <c r="AG232" s="3"/>
    </row>
    <row r="233" spans="2:33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AD233" s="3"/>
      <c r="AE233" s="3"/>
      <c r="AF233" s="3"/>
      <c r="AG233" s="3"/>
    </row>
    <row r="234" spans="2:33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AD234" s="3"/>
      <c r="AE234" s="3"/>
      <c r="AF234" s="3"/>
      <c r="AG234" s="3"/>
    </row>
    <row r="235" spans="2:33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AD235" s="3"/>
      <c r="AE235" s="3"/>
      <c r="AF235" s="3"/>
      <c r="AG235" s="3"/>
    </row>
    <row r="236" spans="2:33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AD236" s="3"/>
      <c r="AE236" s="3"/>
      <c r="AF236" s="3"/>
      <c r="AG236" s="3"/>
    </row>
    <row r="237" spans="2:33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AD237" s="3"/>
      <c r="AE237" s="3"/>
      <c r="AF237" s="3"/>
      <c r="AG237" s="3"/>
    </row>
    <row r="238" spans="2:33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AD238" s="3"/>
      <c r="AE238" s="3"/>
      <c r="AF238" s="3"/>
      <c r="AG238" s="3"/>
    </row>
    <row r="239" spans="2:33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AD239" s="3"/>
      <c r="AE239" s="3"/>
      <c r="AF239" s="3"/>
      <c r="AG239" s="3"/>
    </row>
    <row r="240" spans="2:33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AD240" s="3"/>
      <c r="AE240" s="3"/>
      <c r="AF240" s="3"/>
      <c r="AG240" s="3"/>
    </row>
    <row r="241" spans="2:33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AD241" s="3"/>
      <c r="AE241" s="3"/>
      <c r="AF241" s="3"/>
      <c r="AG241" s="3"/>
    </row>
    <row r="242" spans="2:33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AD242" s="3"/>
      <c r="AE242" s="3"/>
      <c r="AF242" s="3"/>
      <c r="AG242" s="3"/>
    </row>
    <row r="243" spans="2:33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AD243" s="3"/>
      <c r="AE243" s="3"/>
      <c r="AF243" s="3"/>
      <c r="AG243" s="3"/>
    </row>
    <row r="244" spans="2:33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AD244" s="3"/>
      <c r="AE244" s="3"/>
      <c r="AF244" s="3"/>
      <c r="AG244" s="3"/>
    </row>
    <row r="245" spans="2:33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AD245" s="3"/>
      <c r="AE245" s="3"/>
      <c r="AF245" s="3"/>
      <c r="AG245" s="3"/>
    </row>
    <row r="246" spans="2:33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AD246" s="3"/>
      <c r="AE246" s="3"/>
      <c r="AF246" s="3"/>
      <c r="AG246" s="3"/>
    </row>
    <row r="247" spans="2:33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AD247" s="3"/>
      <c r="AE247" s="3"/>
      <c r="AF247" s="3"/>
      <c r="AG247" s="3"/>
    </row>
    <row r="248" spans="2:33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AD248" s="3"/>
      <c r="AE248" s="3"/>
      <c r="AF248" s="3"/>
      <c r="AG248" s="3"/>
    </row>
    <row r="249" spans="2:33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AD249" s="3"/>
      <c r="AE249" s="3"/>
      <c r="AF249" s="3"/>
      <c r="AG249" s="3"/>
    </row>
    <row r="250" spans="2:33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AD250" s="3"/>
      <c r="AE250" s="3"/>
      <c r="AF250" s="3"/>
      <c r="AG250" s="3"/>
    </row>
    <row r="251" spans="2:33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AD251" s="3"/>
      <c r="AE251" s="3"/>
      <c r="AF251" s="3"/>
      <c r="AG251" s="3"/>
    </row>
    <row r="252" spans="2:33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AD252" s="3"/>
      <c r="AE252" s="3"/>
      <c r="AF252" s="3"/>
      <c r="AG252" s="3"/>
    </row>
    <row r="253" spans="2:33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AD253" s="3"/>
      <c r="AE253" s="3"/>
      <c r="AF253" s="3"/>
      <c r="AG253" s="3"/>
    </row>
    <row r="254" spans="2:33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AD254" s="3"/>
      <c r="AE254" s="3"/>
      <c r="AF254" s="3"/>
      <c r="AG254" s="3"/>
    </row>
    <row r="255" spans="2:33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AD255" s="3"/>
      <c r="AE255" s="3"/>
      <c r="AF255" s="3"/>
      <c r="AG255" s="3"/>
    </row>
    <row r="256" spans="2:33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AD256" s="3"/>
      <c r="AE256" s="3"/>
      <c r="AF256" s="3"/>
      <c r="AG256" s="3"/>
    </row>
    <row r="257" spans="2:33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AD257" s="3"/>
      <c r="AE257" s="3"/>
      <c r="AF257" s="3"/>
      <c r="AG257" s="3"/>
    </row>
    <row r="258" spans="2:33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AD258" s="3"/>
      <c r="AE258" s="3"/>
      <c r="AF258" s="3"/>
      <c r="AG258" s="3"/>
    </row>
    <row r="259" spans="2:33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AD259" s="3"/>
      <c r="AE259" s="3"/>
      <c r="AF259" s="3"/>
      <c r="AG259" s="3"/>
    </row>
    <row r="260" spans="2:33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AD260" s="3"/>
      <c r="AE260" s="3"/>
      <c r="AF260" s="3"/>
      <c r="AG260" s="3"/>
    </row>
    <row r="261" spans="2:33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AD261" s="3"/>
      <c r="AE261" s="3"/>
      <c r="AF261" s="3"/>
      <c r="AG261" s="3"/>
    </row>
    <row r="262" spans="2:33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AD262" s="3"/>
      <c r="AE262" s="3"/>
      <c r="AF262" s="3"/>
      <c r="AG262" s="3"/>
    </row>
    <row r="263" spans="2:33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AD263" s="3"/>
      <c r="AE263" s="3"/>
      <c r="AF263" s="3"/>
      <c r="AG263" s="3"/>
    </row>
    <row r="264" spans="2:33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AD264" s="3"/>
      <c r="AE264" s="3"/>
      <c r="AF264" s="3"/>
      <c r="AG264" s="3"/>
    </row>
    <row r="265" spans="2:33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AD265" s="3"/>
      <c r="AE265" s="3"/>
      <c r="AF265" s="3"/>
      <c r="AG265" s="3"/>
    </row>
    <row r="266" spans="2:33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AD266" s="3"/>
      <c r="AE266" s="3"/>
      <c r="AF266" s="3"/>
      <c r="AG266" s="3"/>
    </row>
    <row r="267" spans="2:33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AD267" s="3"/>
      <c r="AE267" s="3"/>
      <c r="AF267" s="3"/>
      <c r="AG267" s="3"/>
    </row>
    <row r="268" spans="2:33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AD268" s="3"/>
      <c r="AE268" s="3"/>
      <c r="AF268" s="3"/>
      <c r="AG268" s="3"/>
    </row>
    <row r="269" spans="2:33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AD269" s="3"/>
      <c r="AE269" s="3"/>
      <c r="AF269" s="3"/>
      <c r="AG269" s="3"/>
    </row>
    <row r="270" spans="2:33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AD270" s="3"/>
      <c r="AE270" s="3"/>
      <c r="AF270" s="3"/>
      <c r="AG270" s="3"/>
    </row>
    <row r="271" spans="2:33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AD271" s="3"/>
      <c r="AE271" s="3"/>
      <c r="AF271" s="3"/>
      <c r="AG271" s="3"/>
    </row>
    <row r="272" spans="2:33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AD272" s="3"/>
      <c r="AE272" s="3"/>
      <c r="AF272" s="3"/>
      <c r="AG272" s="3"/>
    </row>
    <row r="273" spans="2:33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AD273" s="3"/>
      <c r="AE273" s="3"/>
      <c r="AF273" s="3"/>
      <c r="AG273" s="3"/>
    </row>
    <row r="274" spans="2:33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AD274" s="3"/>
      <c r="AE274" s="3"/>
      <c r="AF274" s="3"/>
      <c r="AG274" s="3"/>
    </row>
    <row r="275" spans="2:33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AD275" s="3"/>
      <c r="AE275" s="3"/>
      <c r="AF275" s="3"/>
      <c r="AG275" s="3"/>
    </row>
    <row r="276" spans="2:33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AD276" s="3"/>
      <c r="AE276" s="3"/>
      <c r="AF276" s="3"/>
      <c r="AG276" s="3"/>
    </row>
    <row r="277" spans="2:33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AD277" s="3"/>
      <c r="AE277" s="3"/>
      <c r="AF277" s="3"/>
      <c r="AG277" s="3"/>
    </row>
    <row r="278" spans="2:33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AD278" s="3"/>
      <c r="AE278" s="3"/>
      <c r="AF278" s="3"/>
      <c r="AG278" s="3"/>
    </row>
    <row r="279" spans="2:33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AD279" s="3"/>
      <c r="AE279" s="3"/>
      <c r="AF279" s="3"/>
      <c r="AG279" s="3"/>
    </row>
    <row r="280" spans="2:33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AD280" s="3"/>
      <c r="AE280" s="3"/>
      <c r="AF280" s="3"/>
      <c r="AG280" s="3"/>
    </row>
    <row r="281" spans="2:33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AD281" s="3"/>
      <c r="AE281" s="3"/>
      <c r="AF281" s="3"/>
      <c r="AG281" s="3"/>
    </row>
    <row r="282" spans="2:33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AD282" s="3"/>
      <c r="AE282" s="3"/>
      <c r="AF282" s="3"/>
      <c r="AG282" s="3"/>
    </row>
    <row r="283" spans="2:33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AD283" s="3"/>
      <c r="AE283" s="3"/>
      <c r="AF283" s="3"/>
      <c r="AG283" s="3"/>
    </row>
    <row r="284" spans="2:33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AD284" s="3"/>
      <c r="AE284" s="3"/>
      <c r="AF284" s="3"/>
      <c r="AG284" s="3"/>
    </row>
    <row r="285" spans="2:33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AD285" s="3"/>
      <c r="AE285" s="3"/>
      <c r="AF285" s="3"/>
      <c r="AG285" s="3"/>
    </row>
    <row r="286" spans="2:33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AD286" s="3"/>
      <c r="AE286" s="3"/>
      <c r="AF286" s="3"/>
      <c r="AG286" s="3"/>
    </row>
    <row r="287" spans="2:33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AD287" s="3"/>
      <c r="AE287" s="3"/>
      <c r="AF287" s="3"/>
      <c r="AG287" s="3"/>
    </row>
    <row r="288" spans="2:33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AD288" s="3"/>
      <c r="AE288" s="3"/>
      <c r="AF288" s="3"/>
      <c r="AG288" s="3"/>
    </row>
    <row r="289" spans="2:33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AD289" s="3"/>
      <c r="AE289" s="3"/>
      <c r="AF289" s="3"/>
      <c r="AG289" s="3"/>
    </row>
    <row r="290" spans="2:33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AD290" s="3"/>
      <c r="AE290" s="3"/>
      <c r="AF290" s="3"/>
      <c r="AG290" s="3"/>
    </row>
    <row r="291" spans="2:33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AD291" s="3"/>
      <c r="AE291" s="3"/>
      <c r="AF291" s="3"/>
      <c r="AG291" s="3"/>
    </row>
    <row r="292" spans="2:33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AD292" s="3"/>
      <c r="AE292" s="3"/>
      <c r="AF292" s="3"/>
      <c r="AG292" s="3"/>
    </row>
    <row r="293" spans="2:33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AD293" s="3"/>
      <c r="AE293" s="3"/>
      <c r="AF293" s="3"/>
      <c r="AG293" s="3"/>
    </row>
    <row r="294" spans="2:33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AD294" s="3"/>
      <c r="AE294" s="3"/>
      <c r="AF294" s="3"/>
      <c r="AG294" s="3"/>
    </row>
    <row r="295" spans="2:33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AD295" s="3"/>
      <c r="AE295" s="3"/>
      <c r="AF295" s="3"/>
      <c r="AG295" s="3"/>
    </row>
    <row r="296" spans="2:33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AD296" s="3"/>
      <c r="AE296" s="3"/>
      <c r="AF296" s="3"/>
      <c r="AG296" s="3"/>
    </row>
    <row r="297" spans="2:33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AD297" s="3"/>
      <c r="AE297" s="3"/>
      <c r="AF297" s="3"/>
      <c r="AG297" s="3"/>
    </row>
    <row r="298" spans="2:33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AD298" s="3"/>
      <c r="AE298" s="3"/>
      <c r="AF298" s="3"/>
      <c r="AG298" s="3"/>
    </row>
    <row r="299" spans="2:33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AD299" s="3"/>
      <c r="AE299" s="3"/>
      <c r="AF299" s="3"/>
      <c r="AG299" s="3"/>
    </row>
    <row r="300" spans="2:33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AD300" s="3"/>
      <c r="AE300" s="3"/>
      <c r="AF300" s="3"/>
      <c r="AG300" s="3"/>
    </row>
    <row r="301" spans="2:33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AD301" s="3"/>
      <c r="AE301" s="3"/>
      <c r="AF301" s="3"/>
      <c r="AG301" s="3"/>
    </row>
    <row r="302" spans="2:33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AD302" s="3"/>
      <c r="AE302" s="3"/>
      <c r="AF302" s="3"/>
      <c r="AG302" s="3"/>
    </row>
    <row r="303" spans="2:33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AD303" s="3"/>
      <c r="AE303" s="3"/>
      <c r="AF303" s="3"/>
      <c r="AG303" s="3"/>
    </row>
    <row r="304" spans="2:33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AD304" s="3"/>
      <c r="AE304" s="3"/>
      <c r="AF304" s="3"/>
      <c r="AG304" s="3"/>
    </row>
    <row r="305" spans="2:33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AD305" s="3"/>
      <c r="AE305" s="3"/>
      <c r="AF305" s="3"/>
      <c r="AG305" s="3"/>
    </row>
    <row r="306" spans="2:33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AD306" s="3"/>
      <c r="AE306" s="3"/>
      <c r="AF306" s="3"/>
      <c r="AG306" s="3"/>
    </row>
    <row r="307" spans="2:33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AD307" s="3"/>
      <c r="AE307" s="3"/>
      <c r="AF307" s="3"/>
      <c r="AG307" s="3"/>
    </row>
    <row r="308" spans="2:33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AD308" s="3"/>
      <c r="AE308" s="3"/>
      <c r="AF308" s="3"/>
      <c r="AG308" s="3"/>
    </row>
    <row r="309" spans="2:33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AD309" s="3"/>
      <c r="AE309" s="3"/>
      <c r="AF309" s="3"/>
      <c r="AG309" s="3"/>
    </row>
    <row r="310" spans="2:33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AD310" s="3"/>
      <c r="AE310" s="3"/>
      <c r="AF310" s="3"/>
      <c r="AG310" s="3"/>
    </row>
    <row r="311" spans="2:33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AD311" s="3"/>
      <c r="AE311" s="3"/>
      <c r="AF311" s="3"/>
      <c r="AG311" s="3"/>
    </row>
    <row r="312" spans="2:33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AD312" s="3"/>
      <c r="AE312" s="3"/>
      <c r="AF312" s="3"/>
      <c r="AG312" s="3"/>
    </row>
    <row r="313" spans="2:33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AD313" s="3"/>
      <c r="AE313" s="3"/>
      <c r="AF313" s="3"/>
      <c r="AG313" s="3"/>
    </row>
    <row r="314" spans="2:33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AD314" s="3"/>
      <c r="AE314" s="3"/>
      <c r="AF314" s="3"/>
      <c r="AG314" s="3"/>
    </row>
    <row r="315" spans="2:33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AD315" s="3"/>
      <c r="AE315" s="3"/>
      <c r="AF315" s="3"/>
      <c r="AG315" s="3"/>
    </row>
    <row r="316" spans="2:33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AD316" s="3"/>
      <c r="AE316" s="3"/>
      <c r="AF316" s="3"/>
      <c r="AG316" s="3"/>
    </row>
    <row r="317" spans="2:33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AD317" s="3"/>
      <c r="AE317" s="3"/>
      <c r="AF317" s="3"/>
      <c r="AG317" s="3"/>
    </row>
    <row r="318" spans="2:33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AD318" s="3"/>
      <c r="AE318" s="3"/>
      <c r="AF318" s="3"/>
      <c r="AG318" s="3"/>
    </row>
    <row r="319" spans="2:33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AD319" s="3"/>
      <c r="AE319" s="3"/>
      <c r="AF319" s="3"/>
      <c r="AG319" s="3"/>
    </row>
    <row r="320" spans="2:33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AD320" s="3"/>
      <c r="AE320" s="3"/>
      <c r="AF320" s="3"/>
      <c r="AG320" s="3"/>
    </row>
    <row r="321" spans="2:33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AD321" s="3"/>
      <c r="AE321" s="3"/>
      <c r="AF321" s="3"/>
      <c r="AG321" s="3"/>
    </row>
    <row r="322" spans="2:33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AD322" s="3"/>
      <c r="AE322" s="3"/>
      <c r="AF322" s="3"/>
      <c r="AG322" s="3"/>
    </row>
    <row r="323" spans="2:33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AD323" s="3"/>
      <c r="AE323" s="3"/>
      <c r="AF323" s="3"/>
      <c r="AG323" s="3"/>
    </row>
    <row r="324" spans="2:33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AD324" s="3"/>
      <c r="AE324" s="3"/>
      <c r="AF324" s="3"/>
      <c r="AG324" s="3"/>
    </row>
    <row r="325" spans="2:33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AD325" s="3"/>
      <c r="AE325" s="3"/>
      <c r="AF325" s="3"/>
      <c r="AG325" s="3"/>
    </row>
    <row r="326" spans="2:33" x14ac:dyDescent="0.2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AD326" s="3"/>
      <c r="AE326" s="3"/>
      <c r="AF326" s="3"/>
      <c r="AG326" s="3"/>
    </row>
    <row r="327" spans="2:33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AD327" s="3"/>
      <c r="AE327" s="3"/>
      <c r="AF327" s="3"/>
      <c r="AG327" s="3"/>
    </row>
    <row r="328" spans="2:33" x14ac:dyDescent="0.2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AD328" s="3"/>
      <c r="AE328" s="3"/>
      <c r="AF328" s="3"/>
      <c r="AG328" s="3"/>
    </row>
    <row r="329" spans="2:33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AD329" s="3"/>
      <c r="AE329" s="3"/>
      <c r="AF329" s="3"/>
      <c r="AG329" s="3"/>
    </row>
    <row r="330" spans="2:33" x14ac:dyDescent="0.2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AD330" s="3"/>
      <c r="AE330" s="3"/>
      <c r="AF330" s="3"/>
      <c r="AG330" s="3"/>
    </row>
    <row r="331" spans="2:33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AD331" s="3"/>
      <c r="AE331" s="3"/>
      <c r="AF331" s="3"/>
      <c r="AG331" s="3"/>
    </row>
    <row r="332" spans="2:33" x14ac:dyDescent="0.2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AD332" s="3"/>
      <c r="AE332" s="3"/>
      <c r="AF332" s="3"/>
      <c r="AG332" s="3"/>
    </row>
    <row r="333" spans="2:33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AD333" s="3"/>
      <c r="AE333" s="3"/>
      <c r="AF333" s="3"/>
      <c r="AG333" s="3"/>
    </row>
    <row r="334" spans="2:33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AD334" s="3"/>
      <c r="AE334" s="3"/>
      <c r="AF334" s="3"/>
      <c r="AG334" s="3"/>
    </row>
    <row r="335" spans="2:33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AD335" s="3"/>
      <c r="AE335" s="3"/>
      <c r="AF335" s="3"/>
      <c r="AG335" s="3"/>
    </row>
    <row r="336" spans="2:33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AD336" s="3"/>
      <c r="AE336" s="3"/>
      <c r="AF336" s="3"/>
      <c r="AG336" s="3"/>
    </row>
    <row r="337" spans="2:33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AD337" s="3"/>
      <c r="AE337" s="3"/>
      <c r="AF337" s="3"/>
      <c r="AG337" s="3"/>
    </row>
    <row r="338" spans="2:33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AD338" s="3"/>
      <c r="AE338" s="3"/>
      <c r="AF338" s="3"/>
      <c r="AG338" s="3"/>
    </row>
    <row r="339" spans="2:33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AD339" s="3"/>
      <c r="AE339" s="3"/>
      <c r="AF339" s="3"/>
      <c r="AG339" s="3"/>
    </row>
    <row r="340" spans="2:33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AD340" s="3"/>
      <c r="AE340" s="3"/>
      <c r="AF340" s="3"/>
      <c r="AG340" s="3"/>
    </row>
    <row r="341" spans="2:33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AD341" s="3"/>
      <c r="AE341" s="3"/>
      <c r="AF341" s="3"/>
      <c r="AG341" s="3"/>
    </row>
    <row r="342" spans="2:33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AD342" s="3"/>
      <c r="AE342" s="3"/>
      <c r="AF342" s="3"/>
      <c r="AG342" s="3"/>
    </row>
    <row r="343" spans="2:33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AD343" s="3"/>
      <c r="AE343" s="3"/>
      <c r="AF343" s="3"/>
      <c r="AG343" s="3"/>
    </row>
    <row r="344" spans="2:33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AD344" s="3"/>
      <c r="AE344" s="3"/>
      <c r="AF344" s="3"/>
      <c r="AG344" s="3"/>
    </row>
    <row r="345" spans="2:33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AD345" s="3"/>
      <c r="AE345" s="3"/>
      <c r="AF345" s="3"/>
      <c r="AG345" s="3"/>
    </row>
    <row r="346" spans="2:33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AD346" s="3"/>
      <c r="AE346" s="3"/>
      <c r="AF346" s="3"/>
      <c r="AG346" s="3"/>
    </row>
    <row r="347" spans="2:33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AD347" s="3"/>
      <c r="AE347" s="3"/>
      <c r="AF347" s="3"/>
      <c r="AG347" s="3"/>
    </row>
    <row r="348" spans="2:33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AD348" s="3"/>
      <c r="AE348" s="3"/>
      <c r="AF348" s="3"/>
      <c r="AG348" s="3"/>
    </row>
    <row r="349" spans="2:33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AD349" s="3"/>
      <c r="AE349" s="3"/>
      <c r="AF349" s="3"/>
      <c r="AG349" s="3"/>
    </row>
    <row r="350" spans="2:33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AD350" s="3"/>
      <c r="AE350" s="3"/>
      <c r="AF350" s="3"/>
      <c r="AG350" s="3"/>
    </row>
    <row r="351" spans="2:33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AD351" s="3"/>
      <c r="AE351" s="3"/>
      <c r="AF351" s="3"/>
      <c r="AG351" s="3"/>
    </row>
    <row r="352" spans="2:33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AD352" s="3"/>
      <c r="AE352" s="3"/>
      <c r="AF352" s="3"/>
      <c r="AG352" s="3"/>
    </row>
    <row r="353" spans="2:33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AD353" s="3"/>
      <c r="AE353" s="3"/>
      <c r="AF353" s="3"/>
      <c r="AG353" s="3"/>
    </row>
    <row r="354" spans="2:33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AD354" s="3"/>
      <c r="AE354" s="3"/>
      <c r="AF354" s="3"/>
      <c r="AG354" s="3"/>
    </row>
    <row r="355" spans="2:33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AD355" s="3"/>
      <c r="AE355" s="3"/>
      <c r="AF355" s="3"/>
      <c r="AG355" s="3"/>
    </row>
    <row r="356" spans="2:33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AD356" s="3"/>
      <c r="AE356" s="3"/>
      <c r="AF356" s="3"/>
      <c r="AG356" s="3"/>
    </row>
    <row r="357" spans="2:33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AD357" s="3"/>
      <c r="AE357" s="3"/>
      <c r="AF357" s="3"/>
      <c r="AG357" s="3"/>
    </row>
    <row r="358" spans="2:33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AD358" s="3"/>
      <c r="AE358" s="3"/>
      <c r="AF358" s="3"/>
      <c r="AG358" s="3"/>
    </row>
    <row r="359" spans="2:33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AD359" s="3"/>
      <c r="AE359" s="3"/>
      <c r="AF359" s="3"/>
      <c r="AG359" s="3"/>
    </row>
    <row r="360" spans="2:33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AD360" s="3"/>
      <c r="AE360" s="3"/>
      <c r="AF360" s="3"/>
      <c r="AG360" s="3"/>
    </row>
    <row r="361" spans="2:33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AD361" s="3"/>
      <c r="AE361" s="3"/>
      <c r="AF361" s="3"/>
      <c r="AG361" s="3"/>
    </row>
    <row r="362" spans="2:33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AD362" s="3"/>
      <c r="AE362" s="3"/>
      <c r="AF362" s="3"/>
      <c r="AG362" s="3"/>
    </row>
    <row r="363" spans="2:33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AD363" s="3"/>
      <c r="AE363" s="3"/>
      <c r="AF363" s="3"/>
      <c r="AG363" s="3"/>
    </row>
    <row r="364" spans="2:33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AD364" s="3"/>
      <c r="AE364" s="3"/>
      <c r="AF364" s="3"/>
      <c r="AG364" s="3"/>
    </row>
    <row r="365" spans="2:33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AD365" s="3"/>
      <c r="AE365" s="3"/>
      <c r="AF365" s="3"/>
      <c r="AG365" s="3"/>
    </row>
    <row r="366" spans="2:33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AD366" s="3"/>
      <c r="AE366" s="3"/>
      <c r="AF366" s="3"/>
      <c r="AG366" s="3"/>
    </row>
    <row r="367" spans="2:33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AD367" s="3"/>
      <c r="AE367" s="3"/>
      <c r="AF367" s="3"/>
      <c r="AG367" s="3"/>
    </row>
    <row r="368" spans="2:33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AD368" s="3"/>
      <c r="AE368" s="3"/>
      <c r="AF368" s="3"/>
      <c r="AG368" s="3"/>
    </row>
    <row r="369" spans="2:33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AD369" s="3"/>
      <c r="AE369" s="3"/>
      <c r="AF369" s="3"/>
      <c r="AG369" s="3"/>
    </row>
    <row r="370" spans="2:33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AD370" s="3"/>
      <c r="AE370" s="3"/>
      <c r="AF370" s="3"/>
      <c r="AG370" s="3"/>
    </row>
    <row r="371" spans="2:33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AD371" s="3"/>
      <c r="AE371" s="3"/>
      <c r="AF371" s="3"/>
      <c r="AG371" s="3"/>
    </row>
    <row r="372" spans="2:33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AD372" s="3"/>
      <c r="AE372" s="3"/>
      <c r="AF372" s="3"/>
      <c r="AG372" s="3"/>
    </row>
    <row r="373" spans="2:33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AD373" s="3"/>
      <c r="AE373" s="3"/>
      <c r="AF373" s="3"/>
      <c r="AG373" s="3"/>
    </row>
    <row r="374" spans="2:33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AD374" s="3"/>
      <c r="AE374" s="3"/>
      <c r="AF374" s="3"/>
      <c r="AG374" s="3"/>
    </row>
    <row r="375" spans="2:33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AD375" s="3"/>
      <c r="AE375" s="3"/>
      <c r="AF375" s="3"/>
      <c r="AG375" s="3"/>
    </row>
    <row r="376" spans="2:33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AD376" s="3"/>
      <c r="AE376" s="3"/>
      <c r="AF376" s="3"/>
      <c r="AG376" s="3"/>
    </row>
    <row r="377" spans="2:33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AD377" s="3"/>
      <c r="AE377" s="3"/>
      <c r="AF377" s="3"/>
      <c r="AG377" s="3"/>
    </row>
    <row r="378" spans="2:33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AD378" s="3"/>
      <c r="AE378" s="3"/>
      <c r="AF378" s="3"/>
      <c r="AG378" s="3"/>
    </row>
    <row r="379" spans="2:33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AD379" s="3"/>
      <c r="AE379" s="3"/>
      <c r="AF379" s="3"/>
      <c r="AG379" s="3"/>
    </row>
    <row r="380" spans="2:33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AD380" s="3"/>
      <c r="AE380" s="3"/>
      <c r="AF380" s="3"/>
      <c r="AG380" s="3"/>
    </row>
    <row r="381" spans="2:33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AD381" s="3"/>
      <c r="AE381" s="3"/>
      <c r="AF381" s="3"/>
      <c r="AG381" s="3"/>
    </row>
    <row r="382" spans="2:33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AD382" s="3"/>
      <c r="AE382" s="3"/>
      <c r="AF382" s="3"/>
      <c r="AG382" s="3"/>
    </row>
    <row r="383" spans="2:33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AD383" s="3"/>
      <c r="AE383" s="3"/>
      <c r="AF383" s="3"/>
      <c r="AG383" s="3"/>
    </row>
    <row r="384" spans="2:33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AD384" s="3"/>
      <c r="AE384" s="3"/>
      <c r="AF384" s="3"/>
      <c r="AG384" s="3"/>
    </row>
    <row r="385" spans="2:33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AD385" s="3"/>
      <c r="AE385" s="3"/>
      <c r="AF385" s="3"/>
      <c r="AG385" s="3"/>
    </row>
    <row r="386" spans="2:33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AD386" s="3"/>
      <c r="AE386" s="3"/>
      <c r="AF386" s="3"/>
      <c r="AG386" s="3"/>
    </row>
    <row r="387" spans="2:33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AD387" s="3"/>
      <c r="AE387" s="3"/>
      <c r="AF387" s="3"/>
      <c r="AG387" s="3"/>
    </row>
    <row r="388" spans="2:33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AD388" s="3"/>
      <c r="AE388" s="3"/>
      <c r="AF388" s="3"/>
      <c r="AG388" s="3"/>
    </row>
    <row r="389" spans="2:33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AD389" s="3"/>
      <c r="AE389" s="3"/>
      <c r="AF389" s="3"/>
      <c r="AG389" s="3"/>
    </row>
    <row r="390" spans="2:33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AD390" s="3"/>
      <c r="AE390" s="3"/>
      <c r="AF390" s="3"/>
      <c r="AG390" s="3"/>
    </row>
    <row r="391" spans="2:33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AD391" s="3"/>
      <c r="AE391" s="3"/>
      <c r="AF391" s="3"/>
      <c r="AG391" s="3"/>
    </row>
    <row r="392" spans="2:33" x14ac:dyDescent="0.2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AD392" s="3"/>
      <c r="AE392" s="3"/>
      <c r="AF392" s="3"/>
      <c r="AG392" s="3"/>
    </row>
    <row r="393" spans="2:33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AD393" s="3"/>
      <c r="AE393" s="3"/>
      <c r="AF393" s="3"/>
      <c r="AG393" s="3"/>
    </row>
    <row r="394" spans="2:33" x14ac:dyDescent="0.2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AD394" s="3"/>
      <c r="AE394" s="3"/>
      <c r="AF394" s="3"/>
      <c r="AG394" s="3"/>
    </row>
    <row r="395" spans="2:33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AD395" s="3"/>
      <c r="AE395" s="3"/>
      <c r="AF395" s="3"/>
      <c r="AG395" s="3"/>
    </row>
    <row r="396" spans="2:33" x14ac:dyDescent="0.2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AD396" s="3"/>
      <c r="AE396" s="3"/>
      <c r="AF396" s="3"/>
      <c r="AG396" s="3"/>
    </row>
    <row r="397" spans="2:33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AD397" s="3"/>
      <c r="AE397" s="3"/>
      <c r="AF397" s="3"/>
      <c r="AG397" s="3"/>
    </row>
    <row r="398" spans="2:33" x14ac:dyDescent="0.2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AD398" s="3"/>
      <c r="AE398" s="3"/>
      <c r="AF398" s="3"/>
      <c r="AG398" s="3"/>
    </row>
    <row r="399" spans="2:33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AD399" s="3"/>
      <c r="AE399" s="3"/>
      <c r="AF399" s="3"/>
      <c r="AG399" s="3"/>
    </row>
    <row r="400" spans="2:33" x14ac:dyDescent="0.2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AD400" s="3"/>
      <c r="AE400" s="3"/>
      <c r="AF400" s="3"/>
      <c r="AG400" s="3"/>
    </row>
    <row r="401" spans="2:33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AD401" s="3"/>
      <c r="AE401" s="3"/>
      <c r="AF401" s="3"/>
      <c r="AG401" s="3"/>
    </row>
    <row r="402" spans="2:33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AD402" s="3"/>
      <c r="AE402" s="3"/>
      <c r="AF402" s="3"/>
      <c r="AG402" s="3"/>
    </row>
    <row r="403" spans="2:33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AD403" s="3"/>
      <c r="AE403" s="3"/>
      <c r="AF403" s="3"/>
      <c r="AG403" s="3"/>
    </row>
    <row r="404" spans="2:33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AD404" s="3"/>
      <c r="AE404" s="3"/>
      <c r="AF404" s="3"/>
      <c r="AG404" s="3"/>
    </row>
    <row r="405" spans="2:33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AD405" s="3"/>
      <c r="AE405" s="3"/>
      <c r="AF405" s="3"/>
      <c r="AG405" s="3"/>
    </row>
    <row r="406" spans="2:33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AD406" s="3"/>
      <c r="AE406" s="3"/>
      <c r="AF406" s="3"/>
      <c r="AG406" s="3"/>
    </row>
    <row r="407" spans="2:33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AD407" s="3"/>
      <c r="AE407" s="3"/>
      <c r="AF407" s="3"/>
      <c r="AG407" s="3"/>
    </row>
    <row r="408" spans="2:33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AD408" s="3"/>
      <c r="AE408" s="3"/>
      <c r="AF408" s="3"/>
      <c r="AG408" s="3"/>
    </row>
    <row r="409" spans="2:33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AD409" s="3"/>
      <c r="AE409" s="3"/>
      <c r="AF409" s="3"/>
      <c r="AG409" s="3"/>
    </row>
    <row r="410" spans="2:33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AD410" s="3"/>
      <c r="AE410" s="3"/>
      <c r="AF410" s="3"/>
      <c r="AG410" s="3"/>
    </row>
    <row r="411" spans="2:33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AD411" s="3"/>
      <c r="AE411" s="3"/>
      <c r="AF411" s="3"/>
      <c r="AG411" s="3"/>
    </row>
    <row r="412" spans="2:33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AD412" s="3"/>
      <c r="AE412" s="3"/>
      <c r="AF412" s="3"/>
      <c r="AG412" s="3"/>
    </row>
    <row r="413" spans="2:33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AD413" s="3"/>
      <c r="AE413" s="3"/>
      <c r="AF413" s="3"/>
      <c r="AG413" s="3"/>
    </row>
    <row r="414" spans="2:33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AD414" s="3"/>
      <c r="AE414" s="3"/>
      <c r="AF414" s="3"/>
      <c r="AG414" s="3"/>
    </row>
    <row r="415" spans="2:33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AD415" s="3"/>
      <c r="AE415" s="3"/>
      <c r="AF415" s="3"/>
      <c r="AG415" s="3"/>
    </row>
    <row r="416" spans="2:33" x14ac:dyDescent="0.2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AD416" s="3"/>
      <c r="AE416" s="3"/>
      <c r="AF416" s="3"/>
      <c r="AG416" s="3"/>
    </row>
    <row r="417" spans="2:33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AD417" s="3"/>
      <c r="AE417" s="3"/>
      <c r="AF417" s="3"/>
      <c r="AG417" s="3"/>
    </row>
    <row r="418" spans="2:33" x14ac:dyDescent="0.2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AD418" s="3"/>
      <c r="AE418" s="3"/>
      <c r="AF418" s="3"/>
      <c r="AG418" s="3"/>
    </row>
    <row r="419" spans="2:33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AD419" s="3"/>
      <c r="AE419" s="3"/>
      <c r="AF419" s="3"/>
      <c r="AG419" s="3"/>
    </row>
    <row r="420" spans="2:33" x14ac:dyDescent="0.2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AD420" s="3"/>
      <c r="AE420" s="3"/>
      <c r="AF420" s="3"/>
      <c r="AG420" s="3"/>
    </row>
    <row r="421" spans="2:33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AD421" s="3"/>
      <c r="AE421" s="3"/>
      <c r="AF421" s="3"/>
      <c r="AG421" s="3"/>
    </row>
    <row r="422" spans="2:33" x14ac:dyDescent="0.2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AD422" s="3"/>
      <c r="AE422" s="3"/>
      <c r="AF422" s="3"/>
      <c r="AG422" s="3"/>
    </row>
    <row r="423" spans="2:33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AD423" s="3"/>
      <c r="AE423" s="3"/>
      <c r="AF423" s="3"/>
      <c r="AG423" s="3"/>
    </row>
    <row r="424" spans="2:33" x14ac:dyDescent="0.2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AD424" s="3"/>
      <c r="AE424" s="3"/>
      <c r="AF424" s="3"/>
      <c r="AG424" s="3"/>
    </row>
    <row r="425" spans="2:33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AD425" s="3"/>
      <c r="AE425" s="3"/>
      <c r="AF425" s="3"/>
      <c r="AG425" s="3"/>
    </row>
    <row r="426" spans="2:33" x14ac:dyDescent="0.2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AD426" s="3"/>
      <c r="AE426" s="3"/>
      <c r="AF426" s="3"/>
      <c r="AG426" s="3"/>
    </row>
    <row r="427" spans="2:33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AD427" s="3"/>
      <c r="AE427" s="3"/>
      <c r="AF427" s="3"/>
      <c r="AG427" s="3"/>
    </row>
    <row r="428" spans="2:33" x14ac:dyDescent="0.2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AD428" s="3"/>
      <c r="AE428" s="3"/>
      <c r="AF428" s="3"/>
      <c r="AG428" s="3"/>
    </row>
    <row r="429" spans="2:33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AD429" s="3"/>
      <c r="AE429" s="3"/>
      <c r="AF429" s="3"/>
      <c r="AG429" s="3"/>
    </row>
    <row r="430" spans="2:33" x14ac:dyDescent="0.2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AD430" s="3"/>
      <c r="AE430" s="3"/>
      <c r="AF430" s="3"/>
      <c r="AG430" s="3"/>
    </row>
    <row r="431" spans="2:33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AD431" s="3"/>
      <c r="AE431" s="3"/>
      <c r="AF431" s="3"/>
      <c r="AG431" s="3"/>
    </row>
    <row r="432" spans="2:33" x14ac:dyDescent="0.2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AD432" s="3"/>
      <c r="AE432" s="3"/>
      <c r="AF432" s="3"/>
      <c r="AG432" s="3"/>
    </row>
    <row r="433" spans="2:33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AD433" s="3"/>
      <c r="AE433" s="3"/>
      <c r="AF433" s="3"/>
      <c r="AG433" s="3"/>
    </row>
    <row r="434" spans="2:33" x14ac:dyDescent="0.2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AD434" s="3"/>
      <c r="AE434" s="3"/>
      <c r="AF434" s="3"/>
      <c r="AG434" s="3"/>
    </row>
    <row r="435" spans="2:33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AD435" s="3"/>
      <c r="AE435" s="3"/>
      <c r="AF435" s="3"/>
      <c r="AG435" s="3"/>
    </row>
    <row r="436" spans="2:33" x14ac:dyDescent="0.2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AD436" s="3"/>
      <c r="AE436" s="3"/>
      <c r="AF436" s="3"/>
      <c r="AG436" s="3"/>
    </row>
    <row r="437" spans="2:33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AD437" s="3"/>
      <c r="AE437" s="3"/>
      <c r="AF437" s="3"/>
      <c r="AG437" s="3"/>
    </row>
    <row r="438" spans="2:33" x14ac:dyDescent="0.2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AD438" s="3"/>
      <c r="AE438" s="3"/>
      <c r="AF438" s="3"/>
      <c r="AG438" s="3"/>
    </row>
    <row r="439" spans="2:33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AD439" s="3"/>
      <c r="AE439" s="3"/>
      <c r="AF439" s="3"/>
      <c r="AG439" s="3"/>
    </row>
    <row r="440" spans="2:33" x14ac:dyDescent="0.2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AD440" s="3"/>
      <c r="AE440" s="3"/>
      <c r="AF440" s="3"/>
      <c r="AG440" s="3"/>
    </row>
    <row r="441" spans="2:33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AD441" s="3"/>
      <c r="AE441" s="3"/>
      <c r="AF441" s="3"/>
      <c r="AG441" s="3"/>
    </row>
    <row r="442" spans="2:33" x14ac:dyDescent="0.2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AD442" s="3"/>
      <c r="AE442" s="3"/>
      <c r="AF442" s="3"/>
      <c r="AG442" s="3"/>
    </row>
    <row r="443" spans="2:33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AD443" s="3"/>
      <c r="AE443" s="3"/>
      <c r="AF443" s="3"/>
      <c r="AG443" s="3"/>
    </row>
    <row r="444" spans="2:33" x14ac:dyDescent="0.2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AD444" s="3"/>
      <c r="AE444" s="3"/>
      <c r="AF444" s="3"/>
      <c r="AG444" s="3"/>
    </row>
    <row r="445" spans="2:33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AD445" s="3"/>
      <c r="AE445" s="3"/>
      <c r="AF445" s="3"/>
      <c r="AG445" s="3"/>
    </row>
    <row r="446" spans="2:33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AD446" s="3"/>
      <c r="AE446" s="3"/>
      <c r="AF446" s="3"/>
      <c r="AG446" s="3"/>
    </row>
    <row r="447" spans="2:33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AD447" s="3"/>
      <c r="AE447" s="3"/>
      <c r="AF447" s="3"/>
      <c r="AG447" s="3"/>
    </row>
    <row r="448" spans="2:33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AD448" s="3"/>
      <c r="AE448" s="3"/>
      <c r="AF448" s="3"/>
      <c r="AG448" s="3"/>
    </row>
    <row r="449" spans="2:33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AD449" s="3"/>
      <c r="AE449" s="3"/>
      <c r="AF449" s="3"/>
      <c r="AG449" s="3"/>
    </row>
    <row r="450" spans="2:33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AD450" s="3"/>
      <c r="AE450" s="3"/>
      <c r="AF450" s="3"/>
      <c r="AG450" s="3"/>
    </row>
    <row r="451" spans="2:33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AD451" s="3"/>
      <c r="AE451" s="3"/>
      <c r="AF451" s="3"/>
      <c r="AG451" s="3"/>
    </row>
    <row r="452" spans="2:33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AD452" s="3"/>
      <c r="AE452" s="3"/>
      <c r="AF452" s="3"/>
      <c r="AG452" s="3"/>
    </row>
    <row r="453" spans="2:33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AD453" s="3"/>
      <c r="AE453" s="3"/>
      <c r="AF453" s="3"/>
      <c r="AG453" s="3"/>
    </row>
    <row r="454" spans="2:33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AD454" s="3"/>
      <c r="AE454" s="3"/>
      <c r="AF454" s="3"/>
      <c r="AG454" s="3"/>
    </row>
    <row r="455" spans="2:33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AD455" s="3"/>
      <c r="AE455" s="3"/>
      <c r="AF455" s="3"/>
      <c r="AG455" s="3"/>
    </row>
    <row r="456" spans="2:33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AD456" s="3"/>
      <c r="AE456" s="3"/>
      <c r="AF456" s="3"/>
      <c r="AG456" s="3"/>
    </row>
    <row r="457" spans="2:33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AD457" s="3"/>
      <c r="AE457" s="3"/>
      <c r="AF457" s="3"/>
      <c r="AG457" s="3"/>
    </row>
    <row r="458" spans="2:33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AD458" s="3"/>
      <c r="AE458" s="3"/>
      <c r="AF458" s="3"/>
      <c r="AG458" s="3"/>
    </row>
    <row r="459" spans="2:33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AD459" s="3"/>
      <c r="AE459" s="3"/>
      <c r="AF459" s="3"/>
      <c r="AG459" s="3"/>
    </row>
    <row r="460" spans="2:33" x14ac:dyDescent="0.2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AD460" s="3"/>
      <c r="AE460" s="3"/>
      <c r="AF460" s="3"/>
      <c r="AG460" s="3"/>
    </row>
    <row r="461" spans="2:33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AD461" s="3"/>
      <c r="AE461" s="3"/>
      <c r="AF461" s="3"/>
      <c r="AG461" s="3"/>
    </row>
    <row r="462" spans="2:33" x14ac:dyDescent="0.2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AD462" s="3"/>
      <c r="AE462" s="3"/>
      <c r="AF462" s="3"/>
      <c r="AG462" s="3"/>
    </row>
    <row r="463" spans="2:33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AD463" s="3"/>
      <c r="AE463" s="3"/>
      <c r="AF463" s="3"/>
      <c r="AG463" s="3"/>
    </row>
    <row r="464" spans="2:33" x14ac:dyDescent="0.2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AD464" s="3"/>
      <c r="AE464" s="3"/>
      <c r="AF464" s="3"/>
      <c r="AG464" s="3"/>
    </row>
    <row r="465" spans="2:33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AD465" s="3"/>
      <c r="AE465" s="3"/>
      <c r="AF465" s="3"/>
      <c r="AG465" s="3"/>
    </row>
    <row r="466" spans="2:33" x14ac:dyDescent="0.2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AD466" s="3"/>
      <c r="AE466" s="3"/>
      <c r="AF466" s="3"/>
      <c r="AG466" s="3"/>
    </row>
    <row r="467" spans="2:33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AD467" s="3"/>
      <c r="AE467" s="3"/>
      <c r="AF467" s="3"/>
      <c r="AG467" s="3"/>
    </row>
    <row r="468" spans="2:33" x14ac:dyDescent="0.2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AD468" s="3"/>
      <c r="AE468" s="3"/>
      <c r="AF468" s="3"/>
      <c r="AG468" s="3"/>
    </row>
    <row r="469" spans="2:33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AD469" s="3"/>
      <c r="AE469" s="3"/>
      <c r="AF469" s="3"/>
      <c r="AG469" s="3"/>
    </row>
    <row r="470" spans="2:33" x14ac:dyDescent="0.2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AD470" s="3"/>
      <c r="AE470" s="3"/>
      <c r="AF470" s="3"/>
      <c r="AG470" s="3"/>
    </row>
    <row r="471" spans="2:33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AD471" s="3"/>
      <c r="AE471" s="3"/>
      <c r="AF471" s="3"/>
      <c r="AG471" s="3"/>
    </row>
    <row r="472" spans="2:33" x14ac:dyDescent="0.2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AD472" s="3"/>
      <c r="AE472" s="3"/>
      <c r="AF472" s="3"/>
      <c r="AG472" s="3"/>
    </row>
    <row r="473" spans="2:33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AD473" s="3"/>
      <c r="AE473" s="3"/>
      <c r="AF473" s="3"/>
      <c r="AG473" s="3"/>
    </row>
    <row r="474" spans="2:33" x14ac:dyDescent="0.2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AD474" s="3"/>
      <c r="AE474" s="3"/>
      <c r="AF474" s="3"/>
      <c r="AG474" s="3"/>
    </row>
    <row r="475" spans="2:33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AD475" s="3"/>
      <c r="AE475" s="3"/>
      <c r="AF475" s="3"/>
      <c r="AG475" s="3"/>
    </row>
    <row r="476" spans="2:33" x14ac:dyDescent="0.2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AD476" s="3"/>
      <c r="AE476" s="3"/>
      <c r="AF476" s="3"/>
      <c r="AG476" s="3"/>
    </row>
    <row r="477" spans="2:33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AD477" s="3"/>
      <c r="AE477" s="3"/>
      <c r="AF477" s="3"/>
      <c r="AG477" s="3"/>
    </row>
    <row r="478" spans="2:33" x14ac:dyDescent="0.2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AD478" s="3"/>
      <c r="AE478" s="3"/>
      <c r="AF478" s="3"/>
      <c r="AG478" s="3"/>
    </row>
    <row r="479" spans="2:33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AD479" s="3"/>
      <c r="AE479" s="3"/>
      <c r="AF479" s="3"/>
      <c r="AG479" s="3"/>
    </row>
    <row r="480" spans="2:33" x14ac:dyDescent="0.2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AD480" s="3"/>
      <c r="AE480" s="3"/>
      <c r="AF480" s="3"/>
      <c r="AG480" s="3"/>
    </row>
    <row r="481" spans="2:33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AD481" s="3"/>
      <c r="AE481" s="3"/>
      <c r="AF481" s="3"/>
      <c r="AG481" s="3"/>
    </row>
    <row r="482" spans="2:33" x14ac:dyDescent="0.2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AD482" s="3"/>
      <c r="AE482" s="3"/>
      <c r="AF482" s="3"/>
      <c r="AG482" s="3"/>
    </row>
    <row r="483" spans="2:33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AD483" s="3"/>
      <c r="AE483" s="3"/>
      <c r="AF483" s="3"/>
      <c r="AG483" s="3"/>
    </row>
    <row r="484" spans="2:33" x14ac:dyDescent="0.2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AD484" s="3"/>
      <c r="AE484" s="3"/>
      <c r="AF484" s="3"/>
      <c r="AG484" s="3"/>
    </row>
    <row r="485" spans="2:33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AD485" s="3"/>
      <c r="AE485" s="3"/>
      <c r="AF485" s="3"/>
      <c r="AG485" s="3"/>
    </row>
    <row r="486" spans="2:33" x14ac:dyDescent="0.2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AD486" s="3"/>
      <c r="AE486" s="3"/>
      <c r="AF486" s="3"/>
      <c r="AG486" s="3"/>
    </row>
    <row r="487" spans="2:33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AD487" s="3"/>
      <c r="AE487" s="3"/>
      <c r="AF487" s="3"/>
      <c r="AG487" s="3"/>
    </row>
    <row r="488" spans="2:33" x14ac:dyDescent="0.2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AD488" s="3"/>
      <c r="AE488" s="3"/>
      <c r="AF488" s="3"/>
      <c r="AG488" s="3"/>
    </row>
    <row r="489" spans="2:33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AD489" s="3"/>
      <c r="AE489" s="3"/>
      <c r="AF489" s="3"/>
      <c r="AG489" s="3"/>
    </row>
    <row r="490" spans="2:33" x14ac:dyDescent="0.2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AD490" s="3"/>
      <c r="AE490" s="3"/>
      <c r="AF490" s="3"/>
      <c r="AG490" s="3"/>
    </row>
    <row r="491" spans="2:33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AD491" s="3"/>
      <c r="AE491" s="3"/>
      <c r="AF491" s="3"/>
      <c r="AG491" s="3"/>
    </row>
    <row r="492" spans="2:33" x14ac:dyDescent="0.2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AD492" s="3"/>
      <c r="AE492" s="3"/>
      <c r="AF492" s="3"/>
      <c r="AG492" s="3"/>
    </row>
    <row r="493" spans="2:33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AD493" s="3"/>
      <c r="AE493" s="3"/>
      <c r="AF493" s="3"/>
      <c r="AG493" s="3"/>
    </row>
    <row r="494" spans="2:33" x14ac:dyDescent="0.2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AD494" s="3"/>
      <c r="AE494" s="3"/>
      <c r="AF494" s="3"/>
      <c r="AG494" s="3"/>
    </row>
    <row r="495" spans="2:33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AD495" s="3"/>
      <c r="AE495" s="3"/>
      <c r="AF495" s="3"/>
      <c r="AG495" s="3"/>
    </row>
    <row r="496" spans="2:33" x14ac:dyDescent="0.2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AD496" s="3"/>
      <c r="AE496" s="3"/>
      <c r="AF496" s="3"/>
      <c r="AG496" s="3"/>
    </row>
    <row r="497" spans="2:33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AD497" s="3"/>
      <c r="AE497" s="3"/>
      <c r="AF497" s="3"/>
      <c r="AG497" s="3"/>
    </row>
    <row r="498" spans="2:33" x14ac:dyDescent="0.2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AD498" s="3"/>
      <c r="AE498" s="3"/>
      <c r="AF498" s="3"/>
      <c r="AG498" s="3"/>
    </row>
    <row r="499" spans="2:33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AD499" s="3"/>
      <c r="AE499" s="3"/>
      <c r="AF499" s="3"/>
      <c r="AG499" s="3"/>
    </row>
    <row r="500" spans="2:33" x14ac:dyDescent="0.2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AD500" s="3"/>
      <c r="AE500" s="3"/>
      <c r="AF500" s="3"/>
      <c r="AG500" s="3"/>
    </row>
    <row r="501" spans="2:33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AD501" s="3"/>
      <c r="AE501" s="3"/>
      <c r="AF501" s="3"/>
      <c r="AG501" s="3"/>
    </row>
    <row r="502" spans="2:33" x14ac:dyDescent="0.2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AD502" s="3"/>
      <c r="AE502" s="3"/>
      <c r="AF502" s="3"/>
      <c r="AG502" s="3"/>
    </row>
    <row r="503" spans="2:33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AD503" s="3"/>
      <c r="AE503" s="3"/>
      <c r="AF503" s="3"/>
      <c r="AG503" s="3"/>
    </row>
    <row r="504" spans="2:33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AD504" s="3"/>
      <c r="AE504" s="3"/>
      <c r="AF504" s="3"/>
      <c r="AG504" s="3"/>
    </row>
    <row r="505" spans="2:33" x14ac:dyDescent="0.2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AD505" s="3"/>
      <c r="AE505" s="3"/>
      <c r="AF505" s="3"/>
      <c r="AG505" s="3"/>
    </row>
    <row r="506" spans="2:33" x14ac:dyDescent="0.2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AD506" s="3"/>
      <c r="AE506" s="3"/>
      <c r="AF506" s="3"/>
      <c r="AG506" s="3"/>
    </row>
    <row r="507" spans="2:33" x14ac:dyDescent="0.2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AD507" s="3"/>
      <c r="AE507" s="3"/>
      <c r="AF507" s="3"/>
      <c r="AG507" s="3"/>
    </row>
    <row r="508" spans="2:33" x14ac:dyDescent="0.2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AD508" s="3"/>
      <c r="AE508" s="3"/>
      <c r="AF508" s="3"/>
      <c r="AG508" s="3"/>
    </row>
    <row r="509" spans="2:33" x14ac:dyDescent="0.2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AD509" s="3"/>
      <c r="AE509" s="3"/>
      <c r="AF509" s="3"/>
      <c r="AG509" s="3"/>
    </row>
    <row r="510" spans="2:33" x14ac:dyDescent="0.2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AD510" s="3"/>
      <c r="AE510" s="3"/>
      <c r="AF510" s="3"/>
      <c r="AG510" s="3"/>
    </row>
    <row r="511" spans="2:33" x14ac:dyDescent="0.2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AD511" s="3"/>
      <c r="AE511" s="3"/>
      <c r="AF511" s="3"/>
      <c r="AG511" s="3"/>
    </row>
    <row r="512" spans="2:33" x14ac:dyDescent="0.2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AD512" s="3"/>
      <c r="AE512" s="3"/>
      <c r="AF512" s="3"/>
      <c r="AG512" s="3"/>
    </row>
    <row r="513" spans="2:33" x14ac:dyDescent="0.2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AD513" s="3"/>
      <c r="AE513" s="3"/>
      <c r="AF513" s="3"/>
      <c r="AG513" s="3"/>
    </row>
    <row r="514" spans="2:33" x14ac:dyDescent="0.2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AD514" s="3"/>
      <c r="AE514" s="3"/>
      <c r="AF514" s="3"/>
      <c r="AG514" s="3"/>
    </row>
    <row r="515" spans="2:33" x14ac:dyDescent="0.2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AD515" s="3"/>
      <c r="AE515" s="3"/>
      <c r="AF515" s="3"/>
      <c r="AG515" s="3"/>
    </row>
    <row r="516" spans="2:33" x14ac:dyDescent="0.2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AD516" s="3"/>
      <c r="AE516" s="3"/>
      <c r="AF516" s="3"/>
      <c r="AG516" s="3"/>
    </row>
    <row r="517" spans="2:33" x14ac:dyDescent="0.2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AD517" s="3"/>
      <c r="AE517" s="3"/>
      <c r="AF517" s="3"/>
      <c r="AG517" s="3"/>
    </row>
    <row r="518" spans="2:33" x14ac:dyDescent="0.2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AD518" s="3"/>
      <c r="AE518" s="3"/>
      <c r="AF518" s="3"/>
      <c r="AG518" s="3"/>
    </row>
    <row r="519" spans="2:33" x14ac:dyDescent="0.2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AD519" s="3"/>
      <c r="AE519" s="3"/>
      <c r="AF519" s="3"/>
      <c r="AG519" s="3"/>
    </row>
    <row r="520" spans="2:33" x14ac:dyDescent="0.2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AD520" s="3"/>
      <c r="AE520" s="3"/>
      <c r="AF520" s="3"/>
      <c r="AG520" s="3"/>
    </row>
    <row r="521" spans="2:33" x14ac:dyDescent="0.2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AD521" s="3"/>
      <c r="AE521" s="3"/>
      <c r="AF521" s="3"/>
      <c r="AG521" s="3"/>
    </row>
    <row r="522" spans="2:33" x14ac:dyDescent="0.2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AD522" s="3"/>
      <c r="AE522" s="3"/>
      <c r="AF522" s="3"/>
      <c r="AG522" s="3"/>
    </row>
    <row r="523" spans="2:33" x14ac:dyDescent="0.2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AD523" s="3"/>
      <c r="AE523" s="3"/>
      <c r="AF523" s="3"/>
      <c r="AG523" s="3"/>
    </row>
    <row r="524" spans="2:33" x14ac:dyDescent="0.2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AD524" s="3"/>
      <c r="AE524" s="3"/>
      <c r="AF524" s="3"/>
      <c r="AG524" s="3"/>
    </row>
    <row r="525" spans="2:33" x14ac:dyDescent="0.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AD525" s="3"/>
      <c r="AE525" s="3"/>
      <c r="AF525" s="3"/>
      <c r="AG525" s="3"/>
    </row>
    <row r="526" spans="2:33" x14ac:dyDescent="0.2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AD526" s="3"/>
      <c r="AE526" s="3"/>
      <c r="AF526" s="3"/>
      <c r="AG526" s="3"/>
    </row>
    <row r="527" spans="2:33" x14ac:dyDescent="0.2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AD527" s="3"/>
      <c r="AE527" s="3"/>
      <c r="AF527" s="3"/>
      <c r="AG527" s="3"/>
    </row>
    <row r="528" spans="2:33" x14ac:dyDescent="0.2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AD528" s="3"/>
      <c r="AE528" s="3"/>
      <c r="AF528" s="3"/>
      <c r="AG528" s="3"/>
    </row>
    <row r="529" spans="2:33" x14ac:dyDescent="0.2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AD529" s="3"/>
      <c r="AE529" s="3"/>
      <c r="AF529" s="3"/>
      <c r="AG529" s="3"/>
    </row>
    <row r="530" spans="2:33" x14ac:dyDescent="0.2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AD530" s="3"/>
      <c r="AE530" s="3"/>
      <c r="AF530" s="3"/>
      <c r="AG530" s="3"/>
    </row>
    <row r="531" spans="2:33" x14ac:dyDescent="0.2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AD531" s="3"/>
      <c r="AE531" s="3"/>
      <c r="AF531" s="3"/>
      <c r="AG531" s="3"/>
    </row>
    <row r="532" spans="2:33" x14ac:dyDescent="0.2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AD532" s="3"/>
      <c r="AE532" s="3"/>
      <c r="AF532" s="3"/>
      <c r="AG532" s="3"/>
    </row>
    <row r="533" spans="2:33" x14ac:dyDescent="0.2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AD533" s="3"/>
      <c r="AE533" s="3"/>
      <c r="AF533" s="3"/>
      <c r="AG533" s="3"/>
    </row>
    <row r="534" spans="2:33" x14ac:dyDescent="0.2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AD534" s="3"/>
      <c r="AE534" s="3"/>
      <c r="AF534" s="3"/>
      <c r="AG534" s="3"/>
    </row>
    <row r="535" spans="2:33" x14ac:dyDescent="0.2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AD535" s="3"/>
      <c r="AE535" s="3"/>
      <c r="AF535" s="3"/>
      <c r="AG535" s="3"/>
    </row>
    <row r="536" spans="2:33" x14ac:dyDescent="0.2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AD536" s="3"/>
      <c r="AE536" s="3"/>
      <c r="AF536" s="3"/>
      <c r="AG536" s="3"/>
    </row>
    <row r="537" spans="2:33" x14ac:dyDescent="0.2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AD537" s="3"/>
      <c r="AE537" s="3"/>
      <c r="AF537" s="3"/>
      <c r="AG537" s="3"/>
    </row>
    <row r="538" spans="2:33" x14ac:dyDescent="0.2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AD538" s="3"/>
      <c r="AE538" s="3"/>
      <c r="AF538" s="3"/>
      <c r="AG538" s="3"/>
    </row>
    <row r="539" spans="2:33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AD539" s="3"/>
      <c r="AE539" s="3"/>
      <c r="AF539" s="3"/>
      <c r="AG539" s="3"/>
    </row>
    <row r="540" spans="2:33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AD540" s="3"/>
      <c r="AE540" s="3"/>
      <c r="AF540" s="3"/>
      <c r="AG540" s="3"/>
    </row>
    <row r="541" spans="2:33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AD541" s="3"/>
      <c r="AE541" s="3"/>
      <c r="AF541" s="3"/>
      <c r="AG541" s="3"/>
    </row>
    <row r="542" spans="2:33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AD542" s="3"/>
      <c r="AE542" s="3"/>
      <c r="AF542" s="3"/>
      <c r="AG542" s="3"/>
    </row>
    <row r="543" spans="2:33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AD543" s="3"/>
      <c r="AE543" s="3"/>
      <c r="AF543" s="3"/>
      <c r="AG543" s="3"/>
    </row>
    <row r="544" spans="2:33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AD544" s="3"/>
      <c r="AE544" s="3"/>
      <c r="AF544" s="3"/>
      <c r="AG544" s="3"/>
    </row>
    <row r="545" spans="2:33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AD545" s="3"/>
      <c r="AE545" s="3"/>
      <c r="AF545" s="3"/>
      <c r="AG545" s="3"/>
    </row>
    <row r="546" spans="2:33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AD546" s="3"/>
      <c r="AE546" s="3"/>
      <c r="AF546" s="3"/>
      <c r="AG546" s="3"/>
    </row>
    <row r="547" spans="2:33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AD547" s="3"/>
      <c r="AE547" s="3"/>
      <c r="AF547" s="3"/>
      <c r="AG547" s="3"/>
    </row>
    <row r="548" spans="2:33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AD548" s="3"/>
      <c r="AE548" s="3"/>
      <c r="AF548" s="3"/>
      <c r="AG548" s="3"/>
    </row>
    <row r="549" spans="2:33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AD549" s="3"/>
      <c r="AE549" s="3"/>
      <c r="AF549" s="3"/>
      <c r="AG549" s="3"/>
    </row>
    <row r="550" spans="2:33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AD550" s="3"/>
      <c r="AE550" s="3"/>
      <c r="AF550" s="3"/>
      <c r="AG550" s="3"/>
    </row>
    <row r="551" spans="2:33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AD551" s="3"/>
      <c r="AE551" s="3"/>
      <c r="AF551" s="3"/>
      <c r="AG551" s="3"/>
    </row>
    <row r="552" spans="2:33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AD552" s="3"/>
      <c r="AE552" s="3"/>
      <c r="AF552" s="3"/>
      <c r="AG552" s="3"/>
    </row>
    <row r="553" spans="2:33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AD553" s="3"/>
      <c r="AE553" s="3"/>
      <c r="AF553" s="3"/>
      <c r="AG553" s="3"/>
    </row>
    <row r="554" spans="2:33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AD554" s="3"/>
      <c r="AE554" s="3"/>
      <c r="AF554" s="3"/>
      <c r="AG554" s="3"/>
    </row>
    <row r="555" spans="2:33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AD555" s="3"/>
      <c r="AE555" s="3"/>
      <c r="AF555" s="3"/>
      <c r="AG555" s="3"/>
    </row>
    <row r="556" spans="2:33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AD556" s="3"/>
      <c r="AE556" s="3"/>
      <c r="AF556" s="3"/>
      <c r="AG556" s="3"/>
    </row>
    <row r="557" spans="2:33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AD557" s="3"/>
      <c r="AE557" s="3"/>
      <c r="AF557" s="3"/>
      <c r="AG557" s="3"/>
    </row>
    <row r="558" spans="2:33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AD558" s="3"/>
      <c r="AE558" s="3"/>
      <c r="AF558" s="3"/>
      <c r="AG558" s="3"/>
    </row>
    <row r="559" spans="2:33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AD559" s="3"/>
      <c r="AE559" s="3"/>
      <c r="AF559" s="3"/>
      <c r="AG559" s="3"/>
    </row>
    <row r="560" spans="2:33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AD560" s="3"/>
      <c r="AE560" s="3"/>
      <c r="AF560" s="3"/>
      <c r="AG560" s="3"/>
    </row>
    <row r="561" spans="2:33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AD561" s="3"/>
      <c r="AE561" s="3"/>
      <c r="AF561" s="3"/>
      <c r="AG561" s="3"/>
    </row>
    <row r="562" spans="2:33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AD562" s="3"/>
      <c r="AE562" s="3"/>
      <c r="AF562" s="3"/>
      <c r="AG562" s="3"/>
    </row>
    <row r="563" spans="2:33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AD563" s="3"/>
      <c r="AE563" s="3"/>
      <c r="AF563" s="3"/>
      <c r="AG563" s="3"/>
    </row>
    <row r="564" spans="2:33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AD564" s="3"/>
      <c r="AE564" s="3"/>
      <c r="AF564" s="3"/>
      <c r="AG564" s="3"/>
    </row>
    <row r="565" spans="2:33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AD565" s="3"/>
      <c r="AE565" s="3"/>
      <c r="AF565" s="3"/>
      <c r="AG565" s="3"/>
    </row>
    <row r="566" spans="2:33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AD566" s="3"/>
      <c r="AE566" s="3"/>
      <c r="AF566" s="3"/>
      <c r="AG566" s="3"/>
    </row>
    <row r="567" spans="2:33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AD567" s="3"/>
      <c r="AE567" s="3"/>
      <c r="AF567" s="3"/>
      <c r="AG567" s="3"/>
    </row>
    <row r="568" spans="2:33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AD568" s="3"/>
      <c r="AE568" s="3"/>
      <c r="AF568" s="3"/>
      <c r="AG568" s="3"/>
    </row>
    <row r="569" spans="2:33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AD569" s="3"/>
      <c r="AE569" s="3"/>
      <c r="AF569" s="3"/>
      <c r="AG569" s="3"/>
    </row>
    <row r="570" spans="2:33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AD570" s="3"/>
      <c r="AE570" s="3"/>
      <c r="AF570" s="3"/>
      <c r="AG570" s="3"/>
    </row>
    <row r="571" spans="2:33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AD571" s="3"/>
      <c r="AE571" s="3"/>
      <c r="AF571" s="3"/>
      <c r="AG571" s="3"/>
    </row>
    <row r="572" spans="2:33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AD572" s="3"/>
      <c r="AE572" s="3"/>
      <c r="AF572" s="3"/>
      <c r="AG572" s="3"/>
    </row>
    <row r="573" spans="2:33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AD573" s="3"/>
      <c r="AE573" s="3"/>
      <c r="AF573" s="3"/>
      <c r="AG573" s="3"/>
    </row>
    <row r="574" spans="2:33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AD574" s="3"/>
      <c r="AE574" s="3"/>
      <c r="AF574" s="3"/>
      <c r="AG574" s="3"/>
    </row>
    <row r="575" spans="2:33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AD575" s="3"/>
      <c r="AE575" s="3"/>
      <c r="AF575" s="3"/>
      <c r="AG575" s="3"/>
    </row>
    <row r="576" spans="2:33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AD576" s="3"/>
      <c r="AE576" s="3"/>
      <c r="AF576" s="3"/>
      <c r="AG576" s="3"/>
    </row>
    <row r="577" spans="2:33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AD577" s="3"/>
      <c r="AE577" s="3"/>
      <c r="AF577" s="3"/>
      <c r="AG577" s="3"/>
    </row>
    <row r="578" spans="2:33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AD578" s="3"/>
      <c r="AE578" s="3"/>
      <c r="AF578" s="3"/>
      <c r="AG578" s="3"/>
    </row>
    <row r="579" spans="2:33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AD579" s="3"/>
      <c r="AE579" s="3"/>
      <c r="AF579" s="3"/>
      <c r="AG579" s="3"/>
    </row>
    <row r="580" spans="2:33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AD580" s="3"/>
      <c r="AE580" s="3"/>
      <c r="AF580" s="3"/>
      <c r="AG580" s="3"/>
    </row>
    <row r="581" spans="2:33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AD581" s="3"/>
      <c r="AE581" s="3"/>
      <c r="AF581" s="3"/>
      <c r="AG581" s="3"/>
    </row>
    <row r="582" spans="2:33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AD582" s="3"/>
      <c r="AE582" s="3"/>
      <c r="AF582" s="3"/>
      <c r="AG582" s="3"/>
    </row>
    <row r="583" spans="2:33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AD583" s="3"/>
      <c r="AE583" s="3"/>
      <c r="AF583" s="3"/>
      <c r="AG583" s="3"/>
    </row>
    <row r="584" spans="2:33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AD584" s="3"/>
      <c r="AE584" s="3"/>
      <c r="AF584" s="3"/>
      <c r="AG584" s="3"/>
    </row>
    <row r="585" spans="2:33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AD585" s="3"/>
      <c r="AE585" s="3"/>
      <c r="AF585" s="3"/>
      <c r="AG585" s="3"/>
    </row>
    <row r="586" spans="2:33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AD586" s="3"/>
      <c r="AE586" s="3"/>
      <c r="AF586" s="3"/>
      <c r="AG586" s="3"/>
    </row>
    <row r="587" spans="2:33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AD587" s="3"/>
      <c r="AE587" s="3"/>
      <c r="AF587" s="3"/>
      <c r="AG587" s="3"/>
    </row>
    <row r="588" spans="2:33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AD588" s="3"/>
      <c r="AE588" s="3"/>
      <c r="AF588" s="3"/>
      <c r="AG588" s="3"/>
    </row>
    <row r="589" spans="2:33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AD589" s="3"/>
      <c r="AE589" s="3"/>
      <c r="AF589" s="3"/>
      <c r="AG589" s="3"/>
    </row>
    <row r="590" spans="2:33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AD590" s="3"/>
      <c r="AE590" s="3"/>
      <c r="AF590" s="3"/>
      <c r="AG590" s="3"/>
    </row>
    <row r="591" spans="2:33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AD591" s="3"/>
      <c r="AE591" s="3"/>
      <c r="AF591" s="3"/>
      <c r="AG591" s="3"/>
    </row>
    <row r="592" spans="2:33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AD592" s="3"/>
      <c r="AE592" s="3"/>
      <c r="AF592" s="3"/>
      <c r="AG592" s="3"/>
    </row>
    <row r="593" spans="2:33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AD593" s="3"/>
      <c r="AE593" s="3"/>
      <c r="AF593" s="3"/>
      <c r="AG593" s="3"/>
    </row>
    <row r="594" spans="2:33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AD594" s="3"/>
      <c r="AE594" s="3"/>
      <c r="AF594" s="3"/>
      <c r="AG594" s="3"/>
    </row>
    <row r="595" spans="2:33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AD595" s="3"/>
      <c r="AE595" s="3"/>
      <c r="AF595" s="3"/>
      <c r="AG595" s="3"/>
    </row>
    <row r="596" spans="2:33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AD596" s="3"/>
      <c r="AE596" s="3"/>
      <c r="AF596" s="3"/>
      <c r="AG596" s="3"/>
    </row>
    <row r="597" spans="2:33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AD597" s="3"/>
      <c r="AE597" s="3"/>
      <c r="AF597" s="3"/>
      <c r="AG597" s="3"/>
    </row>
    <row r="598" spans="2:33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AD598" s="3"/>
      <c r="AE598" s="3"/>
      <c r="AF598" s="3"/>
      <c r="AG598" s="3"/>
    </row>
    <row r="599" spans="2:33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AD599" s="3"/>
      <c r="AE599" s="3"/>
      <c r="AF599" s="3"/>
      <c r="AG599" s="3"/>
    </row>
    <row r="600" spans="2:33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AD600" s="3"/>
      <c r="AE600" s="3"/>
      <c r="AF600" s="3"/>
      <c r="AG600" s="3"/>
    </row>
    <row r="601" spans="2:33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AD601" s="3"/>
      <c r="AE601" s="3"/>
      <c r="AF601" s="3"/>
      <c r="AG601" s="3"/>
    </row>
    <row r="602" spans="2:33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AD602" s="3"/>
      <c r="AE602" s="3"/>
      <c r="AF602" s="3"/>
      <c r="AG602" s="3"/>
    </row>
    <row r="603" spans="2:33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AD603" s="3"/>
      <c r="AE603" s="3"/>
      <c r="AF603" s="3"/>
      <c r="AG603" s="3"/>
    </row>
    <row r="604" spans="2:33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AD604" s="3"/>
      <c r="AE604" s="3"/>
      <c r="AF604" s="3"/>
      <c r="AG604" s="3"/>
    </row>
    <row r="605" spans="2:33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AD605" s="3"/>
      <c r="AE605" s="3"/>
      <c r="AF605" s="3"/>
      <c r="AG605" s="3"/>
    </row>
    <row r="606" spans="2:33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AD606" s="3"/>
      <c r="AE606" s="3"/>
      <c r="AF606" s="3"/>
      <c r="AG606" s="3"/>
    </row>
    <row r="607" spans="2:33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AD607" s="3"/>
      <c r="AE607" s="3"/>
      <c r="AF607" s="3"/>
      <c r="AG607" s="3"/>
    </row>
    <row r="608" spans="2:33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AD608" s="3"/>
      <c r="AE608" s="3"/>
      <c r="AF608" s="3"/>
      <c r="AG608" s="3"/>
    </row>
    <row r="609" spans="2:33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AD609" s="3"/>
      <c r="AE609" s="3"/>
      <c r="AF609" s="3"/>
      <c r="AG609" s="3"/>
    </row>
    <row r="610" spans="2:33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AD610" s="3"/>
      <c r="AE610" s="3"/>
      <c r="AF610" s="3"/>
      <c r="AG610" s="3"/>
    </row>
    <row r="611" spans="2:33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AD611" s="3"/>
      <c r="AE611" s="3"/>
      <c r="AF611" s="3"/>
      <c r="AG611" s="3"/>
    </row>
    <row r="612" spans="2:33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AD612" s="3"/>
      <c r="AE612" s="3"/>
      <c r="AF612" s="3"/>
      <c r="AG612" s="3"/>
    </row>
    <row r="613" spans="2:33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AD613" s="3"/>
      <c r="AE613" s="3"/>
      <c r="AF613" s="3"/>
      <c r="AG613" s="3"/>
    </row>
    <row r="614" spans="2:33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AD614" s="3"/>
      <c r="AE614" s="3"/>
      <c r="AF614" s="3"/>
      <c r="AG614" s="3"/>
    </row>
    <row r="615" spans="2:33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AD615" s="3"/>
      <c r="AE615" s="3"/>
      <c r="AF615" s="3"/>
      <c r="AG615" s="3"/>
    </row>
    <row r="616" spans="2:33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AD616" s="3"/>
      <c r="AE616" s="3"/>
      <c r="AF616" s="3"/>
      <c r="AG616" s="3"/>
    </row>
    <row r="617" spans="2:33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AD617" s="3"/>
      <c r="AE617" s="3"/>
      <c r="AF617" s="3"/>
      <c r="AG617" s="3"/>
    </row>
    <row r="618" spans="2:33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AD618" s="3"/>
      <c r="AE618" s="3"/>
      <c r="AF618" s="3"/>
      <c r="AG618" s="3"/>
    </row>
    <row r="619" spans="2:33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AD619" s="3"/>
      <c r="AE619" s="3"/>
      <c r="AF619" s="3"/>
      <c r="AG619" s="3"/>
    </row>
    <row r="620" spans="2:33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AD620" s="3"/>
      <c r="AE620" s="3"/>
      <c r="AF620" s="3"/>
      <c r="AG620" s="3"/>
    </row>
    <row r="621" spans="2:33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AD621" s="3"/>
      <c r="AE621" s="3"/>
      <c r="AF621" s="3"/>
      <c r="AG621" s="3"/>
    </row>
    <row r="622" spans="2:33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AD622" s="3"/>
      <c r="AE622" s="3"/>
      <c r="AF622" s="3"/>
      <c r="AG622" s="3"/>
    </row>
    <row r="623" spans="2:33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AD623" s="3"/>
      <c r="AE623" s="3"/>
      <c r="AF623" s="3"/>
      <c r="AG623" s="3"/>
    </row>
    <row r="624" spans="2:33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AD624" s="3"/>
      <c r="AE624" s="3"/>
      <c r="AF624" s="3"/>
      <c r="AG624" s="3"/>
    </row>
    <row r="625" spans="2:33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AD625" s="3"/>
      <c r="AE625" s="3"/>
      <c r="AF625" s="3"/>
      <c r="AG625" s="3"/>
    </row>
    <row r="626" spans="2:33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AD626" s="3"/>
      <c r="AE626" s="3"/>
      <c r="AF626" s="3"/>
      <c r="AG626" s="3"/>
    </row>
    <row r="627" spans="2:33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AD627" s="3"/>
      <c r="AE627" s="3"/>
      <c r="AF627" s="3"/>
      <c r="AG627" s="3"/>
    </row>
    <row r="628" spans="2:33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AD628" s="3"/>
      <c r="AE628" s="3"/>
      <c r="AF628" s="3"/>
      <c r="AG628" s="3"/>
    </row>
    <row r="629" spans="2:33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AD629" s="3"/>
      <c r="AE629" s="3"/>
      <c r="AF629" s="3"/>
      <c r="AG629" s="3"/>
    </row>
    <row r="630" spans="2:33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AD630" s="3"/>
      <c r="AE630" s="3"/>
      <c r="AF630" s="3"/>
      <c r="AG630" s="3"/>
    </row>
    <row r="631" spans="2:33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AD631" s="3"/>
      <c r="AE631" s="3"/>
      <c r="AF631" s="3"/>
      <c r="AG631" s="3"/>
    </row>
    <row r="632" spans="2:33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AD632" s="3"/>
      <c r="AE632" s="3"/>
      <c r="AF632" s="3"/>
      <c r="AG632" s="3"/>
    </row>
    <row r="633" spans="2:33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AD633" s="3"/>
      <c r="AE633" s="3"/>
      <c r="AF633" s="3"/>
      <c r="AG633" s="3"/>
    </row>
    <row r="634" spans="2:33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AD634" s="3"/>
      <c r="AE634" s="3"/>
      <c r="AF634" s="3"/>
      <c r="AG634" s="3"/>
    </row>
    <row r="635" spans="2:33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AD635" s="3"/>
      <c r="AE635" s="3"/>
      <c r="AF635" s="3"/>
      <c r="AG635" s="3"/>
    </row>
    <row r="636" spans="2:33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AD636" s="3"/>
      <c r="AE636" s="3"/>
      <c r="AF636" s="3"/>
      <c r="AG636" s="3"/>
    </row>
    <row r="637" spans="2:33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AD637" s="3"/>
      <c r="AE637" s="3"/>
      <c r="AF637" s="3"/>
      <c r="AG637" s="3"/>
    </row>
    <row r="638" spans="2:33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AD638" s="3"/>
      <c r="AE638" s="3"/>
      <c r="AF638" s="3"/>
      <c r="AG638" s="3"/>
    </row>
    <row r="639" spans="2:33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AD639" s="3"/>
      <c r="AE639" s="3"/>
      <c r="AF639" s="3"/>
      <c r="AG639" s="3"/>
    </row>
    <row r="640" spans="2:33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AD640" s="3"/>
      <c r="AE640" s="3"/>
      <c r="AF640" s="3"/>
      <c r="AG640" s="3"/>
    </row>
    <row r="641" spans="2:33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AD641" s="3"/>
      <c r="AE641" s="3"/>
      <c r="AF641" s="3"/>
      <c r="AG641" s="3"/>
    </row>
    <row r="642" spans="2:33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AD642" s="3"/>
      <c r="AE642" s="3"/>
      <c r="AF642" s="3"/>
      <c r="AG642" s="3"/>
    </row>
    <row r="643" spans="2:33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AD643" s="3"/>
      <c r="AE643" s="3"/>
      <c r="AF643" s="3"/>
      <c r="AG643" s="3"/>
    </row>
    <row r="644" spans="2:33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AD644" s="3"/>
      <c r="AE644" s="3"/>
      <c r="AF644" s="3"/>
      <c r="AG644" s="3"/>
    </row>
    <row r="645" spans="2:33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AD645" s="3"/>
      <c r="AE645" s="3"/>
      <c r="AF645" s="3"/>
      <c r="AG645" s="3"/>
    </row>
    <row r="646" spans="2:33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AD646" s="3"/>
      <c r="AE646" s="3"/>
      <c r="AF646" s="3"/>
      <c r="AG646" s="3"/>
    </row>
    <row r="647" spans="2:33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AD647" s="3"/>
      <c r="AE647" s="3"/>
      <c r="AF647" s="3"/>
      <c r="AG647" s="3"/>
    </row>
    <row r="648" spans="2:33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AD648" s="3"/>
      <c r="AE648" s="3"/>
      <c r="AF648" s="3"/>
      <c r="AG648" s="3"/>
    </row>
    <row r="649" spans="2:33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AD649" s="3"/>
      <c r="AE649" s="3"/>
      <c r="AF649" s="3"/>
      <c r="AG649" s="3"/>
    </row>
    <row r="650" spans="2:33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AD650" s="3"/>
      <c r="AE650" s="3"/>
      <c r="AF650" s="3"/>
      <c r="AG650" s="3"/>
    </row>
    <row r="651" spans="2:33" x14ac:dyDescent="0.2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AD651" s="3"/>
      <c r="AE651" s="3"/>
      <c r="AF651" s="3"/>
      <c r="AG651" s="3"/>
    </row>
    <row r="652" spans="2:33" x14ac:dyDescent="0.2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AD652" s="3"/>
      <c r="AE652" s="3"/>
      <c r="AF652" s="3"/>
      <c r="AG652" s="3"/>
    </row>
  </sheetData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Perceptron</vt:lpstr>
      <vt:lpstr>Backpro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2019-02-19T00:38:59Z</dcterms:created>
  <dcterms:modified xsi:type="dcterms:W3CDTF">2019-02-28T16:09:32Z</dcterms:modified>
</cp:coreProperties>
</file>